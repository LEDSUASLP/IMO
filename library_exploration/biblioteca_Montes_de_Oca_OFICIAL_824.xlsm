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Biblioteca_oficial" sheetId="1" r:id="rId4"/>
    <sheet state="visible" name="Auditoria_integracion" sheetId="2" r:id="rId5"/>
    <sheet state="visible" name="Table 3.1" sheetId="3" r:id="rId6"/>
  </sheets>
  <definedNames/>
  <calcPr/>
  <extLst>
    <ext uri="GoogleSheetsCustomDataVersion2">
      <go:sheetsCustomData xmlns:go="http://customooxmlschemas.google.com/" r:id="rId7" roundtripDataChecksum="ubu9URQVZTIE9m+zEItrAA/9zae/wRC9HQTov7MNzDw="/>
    </ext>
  </extLst>
</workbook>
</file>

<file path=xl/sharedStrings.xml><?xml version="1.0" encoding="utf-8"?>
<sst xmlns="http://schemas.openxmlformats.org/spreadsheetml/2006/main" count="11614" uniqueCount="2708">
  <si>
    <t>id_registro</t>
  </si>
  <si>
    <t>titulo_original</t>
  </si>
  <si>
    <t>autor_original</t>
  </si>
  <si>
    <t>grado_match_humano</t>
  </si>
  <si>
    <t>brunet_validado</t>
  </si>
  <si>
    <t>brunet_decision_humana</t>
  </si>
  <si>
    <t>brunet_nota_humana</t>
  </si>
  <si>
    <t>brunet_propuesto</t>
  </si>
  <si>
    <t>brunet_confianza_inicial</t>
  </si>
  <si>
    <t>brunet_justificacion_inicial</t>
  </si>
  <si>
    <t>url_evidencia_principal</t>
  </si>
  <si>
    <t>titulo_candidato_1</t>
  </si>
  <si>
    <t>autor_candidato_1</t>
  </si>
  <si>
    <t>fuente_candidato_1</t>
  </si>
  <si>
    <t>score_candidato_1</t>
  </si>
  <si>
    <t>url_candidato_1</t>
  </si>
  <si>
    <t>titulo_candidato_2</t>
  </si>
  <si>
    <t>autor_candidato_2</t>
  </si>
  <si>
    <t>fuente_candidato_2</t>
  </si>
  <si>
    <t>score_candidato_2</t>
  </si>
  <si>
    <t>url_candidato_2</t>
  </si>
  <si>
    <t>titulo_candidato_3</t>
  </si>
  <si>
    <t>autor_candidato_3</t>
  </si>
  <si>
    <t>fuente_candidato_3</t>
  </si>
  <si>
    <t>score_candidato_3</t>
  </si>
  <si>
    <t>url_candidato_3</t>
  </si>
  <si>
    <t>idioma</t>
  </si>
  <si>
    <t>brunet_subdivision_propuesta</t>
  </si>
  <si>
    <t>notas_revision_humana</t>
  </si>
  <si>
    <t>url_manual_D</t>
  </si>
  <si>
    <t>notas_previas_D</t>
  </si>
  <si>
    <t>245 jours : Autour du monde</t>
  </si>
  <si>
    <t>Cavaglio, E.</t>
  </si>
  <si>
    <t>A</t>
  </si>
  <si>
    <t>History</t>
  </si>
  <si>
    <t>Aceptar propuesta</t>
  </si>
  <si>
    <t>Alta</t>
  </si>
  <si>
    <t>La categoría previa se conserva en esta primera pasada: título, autor y candidato son compatibles con la rama mayor de Brunet; queda sujeta a revisión humana.</t>
  </si>
  <si>
    <t>254 jours autour du monde</t>
  </si>
  <si>
    <t>google_books</t>
  </si>
  <si>
    <t>fr</t>
  </si>
  <si>
    <t>History / geography / biography</t>
  </si>
  <si>
    <t>Abrégé de géographie</t>
  </si>
  <si>
    <t>Balbi, Adrien</t>
  </si>
  <si>
    <t>Abrege de geographie</t>
  </si>
  <si>
    <t>openlibrary</t>
  </si>
  <si>
    <t>la</t>
  </si>
  <si>
    <t>Le histo 3</t>
  </si>
  <si>
    <t>Tacito, Cornelio</t>
  </si>
  <si>
    <t>B</t>
  </si>
  <si>
    <t>Las historias de Cayo Cornelio Tácito</t>
  </si>
  <si>
    <t>es</t>
  </si>
  <si>
    <t>Thucydides</t>
  </si>
  <si>
    <t>Thucydides is an ancient historian; Brunet places historical works under History.</t>
  </si>
  <si>
    <t>internet_archive</t>
  </si>
  <si>
    <t>Ancient history</t>
  </si>
  <si>
    <t>De viaggi da´ sommi pontefici</t>
  </si>
  <si>
    <t>Ferlone, Antonio Severino</t>
  </si>
  <si>
    <t>The work is a historical account of journeys undertaken by popes, not a theological treatise.</t>
  </si>
  <si>
    <t>De viaggi da' Sommi Pontefici intrapresi, cominciando da S. Pietro Apostolo sino al Regnante Pio VI. Opera in due parti divisa ...</t>
  </si>
  <si>
    <t>it</t>
  </si>
  <si>
    <t>History of religion / papal history</t>
  </si>
  <si>
    <t>The poetical works</t>
  </si>
  <si>
    <t>Ingelow, Jean</t>
  </si>
  <si>
    <t>Belles-lettres</t>
  </si>
  <si>
    <t>The poetical works of Jean Ingelow</t>
  </si>
  <si>
    <t>en</t>
  </si>
  <si>
    <t>Literature / language / philology</t>
  </si>
  <si>
    <t>La photagraphie en amérique</t>
  </si>
  <si>
    <t>Liébert, A.</t>
  </si>
  <si>
    <t>Sciences and arts</t>
  </si>
  <si>
    <t>La Photographie En Amerique 3e Ed.</t>
  </si>
  <si>
    <t>Sciences / philosophy / arts</t>
  </si>
  <si>
    <t>Gli argonauti</t>
  </si>
  <si>
    <t>Rodio, Apollonio</t>
  </si>
  <si>
    <t>Gli Argonauti | Apollonio Rodio</t>
  </si>
  <si>
    <t>Waverley novels</t>
  </si>
  <si>
    <t>Scott, Walter</t>
  </si>
  <si>
    <t>Walter Scott literary/novelistic work; Brunet places prose fiction under Belles-lettres.</t>
  </si>
  <si>
    <t>Waverley Novels</t>
  </si>
  <si>
    <t>Prose fiction / literary works</t>
  </si>
  <si>
    <t>The adventures of Tkeodore</t>
  </si>
  <si>
    <t>The Adventures of Theodore</t>
  </si>
  <si>
    <t>Animal chemistry</t>
  </si>
  <si>
    <t>Liebig, Baron</t>
  </si>
  <si>
    <t>Ricerche storiche e critiche : Su le cause dei progressi e del  decadimiento della republica romana</t>
  </si>
  <si>
    <t>Ferguson, Adamo</t>
  </si>
  <si>
    <t>Ricerche storiche e critiche su le cause dei progressi e del decadimento della repubblica romana; ... di Adamo Ferguson tradotta dal francese tomo 1. [-8].</t>
  </si>
  <si>
    <t>Ricerche storiche e critiche : Su le cause dei progressi e del decadimiento della republica romana</t>
  </si>
  <si>
    <t>Historical study of the Roman Republic.</t>
  </si>
  <si>
    <t>Ricerche storiche e critiche su le cause dei progressi e del ...</t>
  </si>
  <si>
    <t>ddgs_web</t>
  </si>
  <si>
    <t>100.0</t>
  </si>
  <si>
    <t>RICERCHE STORICHE E CRITICHE. by FERGUSON Adamo - Biblio</t>
  </si>
  <si>
    <t>83.5</t>
  </si>
  <si>
    <t>1793 RICERCHE STORICHE E CRITICHE. decline of ... - eBay</t>
  </si>
  <si>
    <t>47.9</t>
  </si>
  <si>
    <t>Céleste : A novel</t>
  </si>
  <si>
    <t>Sutton, Elizabeth M.</t>
  </si>
  <si>
    <t>D</t>
  </si>
  <si>
    <t>Explicitly identified as a novel.</t>
  </si>
  <si>
    <t>Celeste: A Novel book by MM Williams - ThriftBooks</t>
  </si>
  <si>
    <t>32.9</t>
  </si>
  <si>
    <t>The Ghost of the Mary Celeste: A Novel - Valerie Martin ...</t>
  </si>
  <si>
    <t>30.3</t>
  </si>
  <si>
    <t>The Ghost of the Mary Celeste: A Novel (Vintage Contemporaries)</t>
  </si>
  <si>
    <t>Valerie Martin</t>
  </si>
  <si>
    <t>28.0</t>
  </si>
  <si>
    <t>Armelle</t>
  </si>
  <si>
    <t>Du Clésieux, Achille</t>
  </si>
  <si>
    <t>El mes de animas : Crisol divino</t>
  </si>
  <si>
    <t>Ojea y Márquez, Santiago</t>
  </si>
  <si>
    <t>Theology</t>
  </si>
  <si>
    <t>Crisol divino ó sea El purgatorio y las ánimas benditas : obra predicable para el mes de ánimas</t>
  </si>
  <si>
    <t>Theology / religious works</t>
  </si>
  <si>
    <t>Mémoires de Madame Roland</t>
  </si>
  <si>
    <t>Mayer, Charles Auguste</t>
  </si>
  <si>
    <t>Extrait des mémoires de Madame Roland avec des notes, particulièrement à l'usage des écoles</t>
  </si>
  <si>
    <t>Gramática de la lengua castellana  : Según ahora se habla</t>
  </si>
  <si>
    <t>Salvá, Vicente</t>
  </si>
  <si>
    <t>Gramatica de la lengua castellana segun ahora se habla</t>
  </si>
  <si>
    <t>The greek grammar of Roger Bacon : And a fragment of his hebrew grammar</t>
  </si>
  <si>
    <t>The Greek grammar of Roger Bacon and a fragment of his Hebrew grammar</t>
  </si>
  <si>
    <t>El génesis, los milagros y las predicciones : Según el espiritismo</t>
  </si>
  <si>
    <t>Kardec, Allan</t>
  </si>
  <si>
    <t>El génesis, los milagros y las predicciones según el espiritismo</t>
  </si>
  <si>
    <t>La commedia</t>
  </si>
  <si>
    <t>Alighieri Fiorentino, Dante</t>
  </si>
  <si>
    <t>La Divina Commedia</t>
  </si>
  <si>
    <t>Historique de la littérature romaine</t>
  </si>
  <si>
    <t>Pierron, Alexis</t>
  </si>
  <si>
    <t>Histoire de la littérature romaine</t>
  </si>
  <si>
    <t>Pindar : The olympian and pythian odes.</t>
  </si>
  <si>
    <t>Fennell, C. A. M.</t>
  </si>
  <si>
    <t>Pindar: The Olympian and Pythian Odes</t>
  </si>
  <si>
    <t>Nvbes : Graece et latine</t>
  </si>
  <si>
    <t>Aristophanis</t>
  </si>
  <si>
    <t>Nvbes, graece et latine</t>
  </si>
  <si>
    <t>Jérusalem</t>
  </si>
  <si>
    <t>Loti, Pierre</t>
  </si>
  <si>
    <t>La peregrinación española en Italia</t>
  </si>
  <si>
    <t>Pérez Villamil, Manuel</t>
  </si>
  <si>
    <t>La peregrinación española en Italia, 1876</t>
  </si>
  <si>
    <t>Opera : Interpretatione et notis</t>
  </si>
  <si>
    <t>Maronis, Virgilii</t>
  </si>
  <si>
    <t>Opera: interpretatione et notis</t>
  </si>
  <si>
    <t>Promessi sposi</t>
  </si>
  <si>
    <t>Manzoni, Alessandro</t>
  </si>
  <si>
    <t>I promessi sposi is a novel; Brunet places prose fiction under Belles-lettres.</t>
  </si>
  <si>
    <t>I promessi sposi</t>
  </si>
  <si>
    <t>Prose fiction</t>
  </si>
  <si>
    <t>Une retraite au carmel</t>
  </si>
  <si>
    <t>Lescceur, R.Père L.</t>
  </si>
  <si>
    <t>Une retraite au Carmel : exercices de dix jours pour des religieuses</t>
  </si>
  <si>
    <t>Monumens primitifs</t>
  </si>
  <si>
    <t>Choix</t>
  </si>
  <si>
    <t>Choix de monumens primitifs de l'église chrétienne</t>
  </si>
  <si>
    <t>The miscellaneous works of Oliver Goldsmith</t>
  </si>
  <si>
    <t>Viaggio in Germania, Baviera, Svizzera Olanda e Francia</t>
  </si>
  <si>
    <t>Palmieri, D. Gregorio</t>
  </si>
  <si>
    <t>D. Gregorio Palmieri. Viaggio in Germania, Baviera, Svizzera, Olanda e Francia, 1761-1763</t>
  </si>
  <si>
    <t>The cloister and the hearth : A tale of the middle ages</t>
  </si>
  <si>
    <t>Reade, Charles</t>
  </si>
  <si>
    <t>The cloister and the hearth : a tale of the Middle Ages</t>
  </si>
  <si>
    <t>The palestine sermons : The holy land</t>
  </si>
  <si>
    <t>C</t>
  </si>
  <si>
    <t>The Palestine sermons</t>
  </si>
  <si>
    <t>Sophoclis</t>
  </si>
  <si>
    <t>Media</t>
  </si>
  <si>
    <t>Only the author name Sophocles survives; classified as classical literature.</t>
  </si>
  <si>
    <t>El nuevo testamento de nuestro señor Jesu christo</t>
  </si>
  <si>
    <t>El Nuevo Testamento de Nuestro Señor Jesu-Christo</t>
  </si>
  <si>
    <t>Récréations : Grammaticales, géographiques, historiques, scientifiques et morales</t>
  </si>
  <si>
    <t>Champeau, R. P.</t>
  </si>
  <si>
    <t>Corregido</t>
  </si>
  <si>
    <t>Dado el contenido que se puede inferir del índice, un examen de aritmética, "Les Récompenses" (moral), un diálogo sobre los planetas (astronomía/ciencias), combinado con gramática, geografía e historia en el título general, esta obra encaja mejor en la Clase III: Sciences et Arts, y dentro de ella en la subcategoría de Pédagogie / Livres classiques et d'éducation (libros de clase, manuales escolares).</t>
  </si>
  <si>
    <t>Récréations grammaticales, géographiques, historiques, scientifiques et morales Dialogues pour les jours de fêtes</t>
  </si>
  <si>
    <t>Constance sherwood : A novell</t>
  </si>
  <si>
    <t>Fullerton, Georgiana</t>
  </si>
  <si>
    <t>Constance Sherwood</t>
  </si>
  <si>
    <t>Iliade D' Omero</t>
  </si>
  <si>
    <t>Omero</t>
  </si>
  <si>
    <t>L'Iliade d'Omero</t>
  </si>
  <si>
    <t>Oeuvres d' Horace</t>
  </si>
  <si>
    <t>Oeuvres D'Horace</t>
  </si>
  <si>
    <t>La mer et la marine</t>
  </si>
  <si>
    <t>Petit, Maxime</t>
  </si>
  <si>
    <t>Reglamento para las log. Simb. Del organo mexicano</t>
  </si>
  <si>
    <t>Jurisprudence</t>
  </si>
  <si>
    <t>Baja</t>
  </si>
  <si>
    <t>Institutional regulations; assigned provisionally to law/regulations from the surviving title.</t>
  </si>
  <si>
    <t>Reglamento Interno Resp. Log. Simb. Hermanos Serdan No. 13</t>
  </si>
  <si>
    <t>53.3</t>
  </si>
  <si>
    <t>GRAN LOGIA DE NUEVO LEON RESP.' . LOG.' . SIMB ...</t>
  </si>
  <si>
    <t>47.4</t>
  </si>
  <si>
    <t>REGLAMENTO DE LAS CONDICIONES GENERALES DE TRABAJO DEL ... - Gob</t>
  </si>
  <si>
    <t>43.7</t>
  </si>
  <si>
    <t>Discours : Sur l'histoire universelle</t>
  </si>
  <si>
    <t>Bossuet</t>
  </si>
  <si>
    <t>Discours sur l'histoire universelle</t>
  </si>
  <si>
    <t>Dictionnaire : Raisonné universel des arts et métiers</t>
  </si>
  <si>
    <t>Dictionnaire raisonne  universel des arts et metiers..</t>
  </si>
  <si>
    <t>Milton, John</t>
  </si>
  <si>
    <t>The Poetical Works of John Milton</t>
  </si>
  <si>
    <t>Volgarizzamento : Delle favole Di Esopo</t>
  </si>
  <si>
    <t>Riccardiano, Testo</t>
  </si>
  <si>
    <t>Volgarizzamento delle Favole di Esopo</t>
  </si>
  <si>
    <t>Le magnétisme le spiritisme et la possession</t>
  </si>
  <si>
    <t>Pailloux, Xavier</t>
  </si>
  <si>
    <t>Magnetism, spiritism, possession and exorcism fall within Brunet's scientific/occult subdivisions rather than doctrinal theology.</t>
  </si>
  <si>
    <t>Magnétisme, le Spiritisme et la Possession</t>
  </si>
  <si>
    <t>Occult sciences / magnetism</t>
  </si>
  <si>
    <t>The oscotian : The jubilee of oscott</t>
  </si>
  <si>
    <t>Jubilee/institutional commemorative title, treated as institutional history.</t>
  </si>
  <si>
    <t>The Oscotian : a literary gazette of St. Mary's College, Oscott</t>
  </si>
  <si>
    <t>70.2</t>
  </si>
  <si>
    <t>Sound the Jubilee</t>
  </si>
  <si>
    <t>Sandra Forrester</t>
  </si>
  <si>
    <t>58.2</t>
  </si>
  <si>
    <t>In The Year Of Jubilee</t>
  </si>
  <si>
    <t>George Gissing</t>
  </si>
  <si>
    <t>57.5</t>
  </si>
  <si>
    <t>No se puede determinar</t>
  </si>
  <si>
    <t>I promessi sposi : Storia milanese del secolo XVII</t>
  </si>
  <si>
    <t>Manzoni, Alefsandro</t>
  </si>
  <si>
    <t>Es la novela histórica más famosa de la literatura italiana — la historia de amor de Renzo y Lucía en la Lombardía del siglo XVII, con guerras, peste y hambrunas de fondo — considerada la piedra angular de la novela moderna en italiano y de la unificación lingüística de Italia.</t>
  </si>
  <si>
    <t>I promessi sposi is a novel.</t>
  </si>
  <si>
    <t>I promessi sposi storia milanese del secolo XVII.</t>
  </si>
  <si>
    <t>Guide militaire des étudiants et des Médecins &amp;pharmaciens de réserve et de l'armée territoriale</t>
  </si>
  <si>
    <t>Petit, Arthur</t>
  </si>
  <si>
    <t>Guide militaire des étudiants et des médecins &amp; pharmaciens de réserve et de l'armée territoriale</t>
  </si>
  <si>
    <t>The Poetical Works</t>
  </si>
  <si>
    <t>La química del gusto y olfato : Manual del perfumador y fabricante de licores</t>
  </si>
  <si>
    <t>Pallais, D.</t>
  </si>
  <si>
    <t>La Quimica del gusto y del olfato, puesta al alcance de todo el mundo, escrita en francès, por D. Pallais, y traducida al castellano por D. Miguel de Yaniz</t>
  </si>
  <si>
    <t>Teoría bíblica de la cosmogonía y de la geología</t>
  </si>
  <si>
    <t>Debreyne, P. J. C.</t>
  </si>
  <si>
    <t>Teoría bíblica de la Cosmogonía y de la Geología...</t>
  </si>
  <si>
    <t>Centon epistolario</t>
  </si>
  <si>
    <t>Gómez, Fernan</t>
  </si>
  <si>
    <t>les comédies de Térence</t>
  </si>
  <si>
    <t>Les comedies de Terence</t>
  </si>
  <si>
    <t>Les auters latins</t>
  </si>
  <si>
    <t>Horace</t>
  </si>
  <si>
    <t>Les Auteurs Latins Horace, Art Poetique (1858)</t>
  </si>
  <si>
    <t>La petite fadette</t>
  </si>
  <si>
    <t>Sand, George</t>
  </si>
  <si>
    <t>La petite Fadette</t>
  </si>
  <si>
    <t>Fables choisies</t>
  </si>
  <si>
    <t>Chambaud, L.</t>
  </si>
  <si>
    <t>Oeuvres de Boileau</t>
  </si>
  <si>
    <t>Boileau</t>
  </si>
  <si>
    <t>A popular exposition of electricity : With sketches of some of its discoverers</t>
  </si>
  <si>
    <t>Brennan, Martin S.</t>
  </si>
  <si>
    <t>A popular exposition of electricity with sketches of some of its discoveries</t>
  </si>
  <si>
    <t>Grammatica elenebtare della lingua italiana</t>
  </si>
  <si>
    <t>An Italian grammar belongs to Brunet's language and grammar section.</t>
  </si>
  <si>
    <t>Grammatica elementare della lingua italiana</t>
  </si>
  <si>
    <t>Linguistics / grammar</t>
  </si>
  <si>
    <t>Nersetis clajensis : Armeniorum patriarchae</t>
  </si>
  <si>
    <t>Preces</t>
  </si>
  <si>
    <t>Preces Sancti Nersetis Clajensis Armeniorum Patriarchae</t>
  </si>
  <si>
    <t>Oeuvres complètes de Tacite</t>
  </si>
  <si>
    <t>Tacite</t>
  </si>
  <si>
    <t>Tacitus is classified as history rather than belles-lettres in Brunet.</t>
  </si>
  <si>
    <t>Es el mismo texto previo</t>
  </si>
  <si>
    <t>Scherzi anacreontici</t>
  </si>
  <si>
    <t>Biondi, Luigi</t>
  </si>
  <si>
    <t>The odes of Pindar</t>
  </si>
  <si>
    <t>Pindar</t>
  </si>
  <si>
    <t>The Odes of Pindar</t>
  </si>
  <si>
    <t>Vulpii : Liber de satyrae latinae</t>
  </si>
  <si>
    <t>Antonii, Joannis</t>
  </si>
  <si>
    <t>Joannis Antonii Vulpii Liber de satyrae Latinae</t>
  </si>
  <si>
    <t>Les provinciales</t>
  </si>
  <si>
    <t>Montalte, Louis De</t>
  </si>
  <si>
    <t>Vie d'Alexandre</t>
  </si>
  <si>
    <t>Plutarque</t>
  </si>
  <si>
    <t>La mitologia a confronto colla storia : Opera</t>
  </si>
  <si>
    <t>Tressan, AB.</t>
  </si>
  <si>
    <t>Es traducción/edición italiana de la obra del conde de Tressan "La mythologie comparée avec l'histoire", un estudio típico del siglo XVIII que interpreta los mitos griegos y romanos como relatos históricos deformados o alegorizados. En la época se solían ubicar los tratados de mitología comparada bajo Sciences et Arts, en el apartado dedicado a Filosofía/Mitología/Antigüedades, ya que se entendían como estudios "científicos" sobre las creencias antiguas más que como literatura de imaginación</t>
  </si>
  <si>
    <t>Brunet places mythology and ancient religions within History of religions.</t>
  </si>
  <si>
    <t>La mitologia a confronto della storia opera del sig. Ab. Tressan</t>
  </si>
  <si>
    <t>History of religions / mythology</t>
  </si>
  <si>
    <t>Distaff and spindle</t>
  </si>
  <si>
    <t>Townsend, Mary Ashley</t>
  </si>
  <si>
    <t>The just and the unjust</t>
  </si>
  <si>
    <t>Bagot, Richard</t>
  </si>
  <si>
    <t>The Just and the Unjust</t>
  </si>
  <si>
    <t>Glimpses of  pleasant homes</t>
  </si>
  <si>
    <t>Glimpses of pleasant homes</t>
  </si>
  <si>
    <t>A new pocket-dictionary of the englissh and german languages</t>
  </si>
  <si>
    <t>Williams, Frank</t>
  </si>
  <si>
    <t>A New Pocket-dictionary of the English and German Languages ...</t>
  </si>
  <si>
    <t>La Italia roja : Historia de las revoluciones</t>
  </si>
  <si>
    <t>La Italia roja o Historia de las revoluciones...</t>
  </si>
  <si>
    <t>L'Égypte : Au temps des pharaons</t>
  </si>
  <si>
    <t>Loret, Victor</t>
  </si>
  <si>
    <t>egypte Au Temps des Pharaons</t>
  </si>
  <si>
    <t>Bione e di mosco</t>
  </si>
  <si>
    <t>Idillj</t>
  </si>
  <si>
    <t>Idillj di Bione e di Mosco</t>
  </si>
  <si>
    <t>Volgarizzamiento delle favole di Esopo : testo antiguo</t>
  </si>
  <si>
    <t>Esopo</t>
  </si>
  <si>
    <t>Il volgarizzamento delle favole di Galfredo dette di Esopo testo di lingua</t>
  </si>
  <si>
    <t>De la femme, sous ses rapports : physiologique, moral et littéraire</t>
  </si>
  <si>
    <t>Virey, J.</t>
  </si>
  <si>
    <t>The work treats women physiologically and morally; its principal frame is medical/philosophical rather than literary.</t>
  </si>
  <si>
    <t>De la femme, sous ses rapports physiologique, moral et littéraire</t>
  </si>
  <si>
    <t>Medicine / moral philosophy</t>
  </si>
  <si>
    <t>Recherches : Théoriques et pratiques sur la formation des épreuves photographiques positives</t>
  </si>
  <si>
    <t>Davanne, MM</t>
  </si>
  <si>
    <t>Recherches théoriques et pratiques sur la formation des épreuves photographiques positives</t>
  </si>
  <si>
    <t>La divine comédie</t>
  </si>
  <si>
    <t>La Divine Comédie</t>
  </si>
  <si>
    <t>Le fond de la mer</t>
  </si>
  <si>
    <t>Sonrel, L.</t>
  </si>
  <si>
    <t>Les auteurs latins : Expliqués d'après une méthode nouvelle</t>
  </si>
  <si>
    <t>Cicéron</t>
  </si>
  <si>
    <t>Les Auteurs latins expliqués d'après une méthode nouvelle par deux traductions françaises... Cicéron. Plaidoyer pour Muréna</t>
  </si>
  <si>
    <t>Piggott brothers : Show rooms</t>
  </si>
  <si>
    <t>Show-room/catalogue-like title; provisionally treated as practical/industrial arts.</t>
  </si>
  <si>
    <t>Piggott Brothers and Co - Graces Guide</t>
  </si>
  <si>
    <t>60.4</t>
  </si>
  <si>
    <t>Shopping at Piggott Brothers &amp; Co – High Country History Group</t>
  </si>
  <si>
    <t>50.8</t>
  </si>
  <si>
    <t>Piggott Brothers Of Bishopsgate | Spitalfields Life</t>
  </si>
  <si>
    <t>48.0</t>
  </si>
  <si>
    <t>Drawing for stonemasons</t>
  </si>
  <si>
    <t>Davidson, ellis A.</t>
  </si>
  <si>
    <t>Compendio del manual de urbanidad y buenas maneras</t>
  </si>
  <si>
    <t>Carreño, manuel Antonio</t>
  </si>
  <si>
    <t>Compendio del Manual de urbanidad y buenas maneras de Manuel Antonio Carreño</t>
  </si>
  <si>
    <t>Saint Jean Baptiste et un prêtre : Méditations ecclésiastiques</t>
  </si>
  <si>
    <t>Saint Jean-Baptiste et un prêtre méditations ecclésiastiques</t>
  </si>
  <si>
    <t>A stormy life : Queen margaret's journal a novel</t>
  </si>
  <si>
    <t>A Stormy Life Queen Margaret's Journal</t>
  </si>
  <si>
    <t>Del terremoto accaduto in toscana</t>
  </si>
  <si>
    <t>Tabani, G.</t>
  </si>
  <si>
    <t>Del terremoto accaduto in Toscana il 14 agosto 1846 narrazione storica di G. Tabani</t>
  </si>
  <si>
    <t>Genni biografici del sacerdote Jacopo Straker : Missionario apostolico</t>
  </si>
  <si>
    <t>A biographical sketch of a named priest is biographical history.</t>
  </si>
  <si>
    <t>Cenni biografici del sacerdote Jacopo Straker missionario apostolico laureato nelle scienze e nelle lettere ...</t>
  </si>
  <si>
    <t>Biography</t>
  </si>
  <si>
    <t>The prisoners of the king : Thoughts on the catholic doctrine of purgatory</t>
  </si>
  <si>
    <t>Coleridge, Henry James</t>
  </si>
  <si>
    <t>The prisoners of the king; thoughts on the Catholic doctrine of Purgatory</t>
  </si>
  <si>
    <t>The poems of adelaide A. Procter</t>
  </si>
  <si>
    <t>Procter, Adelaide A.</t>
  </si>
  <si>
    <t>The poems of Adelaide A. Procter</t>
  </si>
  <si>
    <t>Life of lady Georgiana Fullerton</t>
  </si>
  <si>
    <t>Life of Lady Georgiana Fullerton;</t>
  </si>
  <si>
    <t>Saint Peter's chains : Rome and the italian revolution</t>
  </si>
  <si>
    <t>Vere, Aubrey De</t>
  </si>
  <si>
    <t>Esta obra corresponde a una serie de sonetos sobre Roma, el Papado y la revolución italiana (el Risorgimento, la pérdida del poder temporal del Papa, la ocupación de Roma en 1870). se cataloga como poesía dentro de Belles-Lettres, no en Théologie ni en Histoire, siguiendo el criterio habitual de los libreros de distinguir primero por género literario antes que por tema cuando la obra es explícitamente un poemario.</t>
  </si>
  <si>
    <t>The title concerns Rome and the Italian Revolution; primarily historical-political.</t>
  </si>
  <si>
    <t>Saint Peter's chains; or, Rome and the Italian revolution</t>
  </si>
  <si>
    <t>Modern / ecclesiastical-political history</t>
  </si>
  <si>
    <t>Los valores ilutres de la ciudad de Roma : Desde Rómulo hasta Augusto</t>
  </si>
  <si>
    <t>Guim, Juan B.</t>
  </si>
  <si>
    <t>De los varones illustres de la ciudad de Roma desde Rómulo hasta Augusto</t>
  </si>
  <si>
    <t>Del suicidio : Considerado bajo los puntos de vista fiosófico, religioso, moral y médico</t>
  </si>
  <si>
    <t>A study of suicide from philosophical, moral and medical perspectives fits Brunet's philosophical/medical sciences.</t>
  </si>
  <si>
    <t>Del suicidio considerado bajo los puntos de vista filosófico, religioso, moral y médico seguido de algunas reflexioness sobre el duelo</t>
  </si>
  <si>
    <t>Moral philosophy / medicine</t>
  </si>
  <si>
    <t>The arithmetician's guide: A complete exercise book, for use of public schools and private teachers</t>
  </si>
  <si>
    <t>Taylor, William</t>
  </si>
  <si>
    <t>The arithmetician's guide; or, A complete exercise book, for the use of public schools, and private teachers..</t>
  </si>
  <si>
    <t>Campbell, Thomas</t>
  </si>
  <si>
    <t>The Poetical Works of Thomas Campbell</t>
  </si>
  <si>
    <t>After weary years</t>
  </si>
  <si>
    <t>O'brien, Cornelius</t>
  </si>
  <si>
    <t>After Weary Years is a narrative/novelistic work.</t>
  </si>
  <si>
    <t>Teoría y práctica : Arte de la fotografía</t>
  </si>
  <si>
    <t>Teoria y practica del arte de la fotografia</t>
  </si>
  <si>
    <t>Byron, George Gordon</t>
  </si>
  <si>
    <t>The Poetical Works of Lord Byron</t>
  </si>
  <si>
    <t>Poetical works by Thomas Moore</t>
  </si>
  <si>
    <t>Moore, Thomas</t>
  </si>
  <si>
    <t>The poetical works by Thomas Moore</t>
  </si>
  <si>
    <t>Cours élémentaire de géologie</t>
  </si>
  <si>
    <t>Lambert, E.</t>
  </si>
  <si>
    <t>Cours élémentaire de géologie appliquée</t>
  </si>
  <si>
    <t>Vies des dames francaises</t>
  </si>
  <si>
    <t>Carron</t>
  </si>
  <si>
    <t xml:space="preserve">Es una obra de hagiografía/edificación religiosa en la tradición de las colecciones de "femmes illustres" (mujeres ilustres), populares en Francia desde el siglo XVI-XVII, 
</t>
  </si>
  <si>
    <t>Lives of named women are biographical works under Brunet History.</t>
  </si>
  <si>
    <t>Vies des dames françaises qui ont été les plus célèbres dans le XVIIe siècle, par leur piété et leur dévouement pour les pauvres, précédées de trois dialogues et trois lettres sur les services que les femmes peuvent rendre a la religion dans l'exercice des bonnes oeuvres</t>
  </si>
  <si>
    <t>Diccionario español - latino</t>
  </si>
  <si>
    <t>Valvuena, Manuel de</t>
  </si>
  <si>
    <t>Diccionario español-latino</t>
  </si>
  <si>
    <t>Olympiques de pindare</t>
  </si>
  <si>
    <t>Guichemerre, J.</t>
  </si>
  <si>
    <t>Pindar is poetry; Brunet places poetry under Belles-lettres.</t>
  </si>
  <si>
    <t>Olympiques de Pindare</t>
  </si>
  <si>
    <t>Poetry</t>
  </si>
  <si>
    <t>Japanese girls and women</t>
  </si>
  <si>
    <t>Bacon, Alice Mabel</t>
  </si>
  <si>
    <t>Japanese Girls and Women</t>
  </si>
  <si>
    <t>The eternal priesthood</t>
  </si>
  <si>
    <t>Edward, Henry</t>
  </si>
  <si>
    <t>The Eternal Priesthood is a theological work on priesthood.</t>
  </si>
  <si>
    <t>Pastoral / ecclesiastical theology</t>
  </si>
  <si>
    <t>Vocabolario della lingua italiana</t>
  </si>
  <si>
    <t>Alberti, Il  Piccolo</t>
  </si>
  <si>
    <t>Los diccionarios de lengua se clasificaban tradicionalmente bajo Belles-Lettres, en el apartado de Philologie/Grammaire, junto con las gramáticas y los tratados sobre el idioma</t>
  </si>
  <si>
    <t>Historical sketch of the St. Louis university</t>
  </si>
  <si>
    <t>Hill, Walter H.</t>
  </si>
  <si>
    <t>Historical sketch of the St. Louis University</t>
  </si>
  <si>
    <t>Congreso internacional de americanistas : Actas de la undécima reunión</t>
  </si>
  <si>
    <t>Congreso internacional de americanistas Actas de la undécima reunión, México-1895</t>
  </si>
  <si>
    <t>Analecta grammatica : aximan partem anécdota</t>
  </si>
  <si>
    <t>Analecta grammatica maximan partem anecdota</t>
  </si>
  <si>
    <t>Saints lieux : Pèlerinage a Jérusalem</t>
  </si>
  <si>
    <t>Mislin</t>
  </si>
  <si>
    <t>Les saints lieux Pèlerinage à Jérusalem</t>
  </si>
  <si>
    <t>La filosofia morale : Esposta e proposta a i Giovani</t>
  </si>
  <si>
    <t>Muratori, Lodovico Antonio</t>
  </si>
  <si>
    <t>La filosofia morale is explicitly a work of moral philosophy.</t>
  </si>
  <si>
    <t>La filosofia morale esposta e proposta a i giovani</t>
  </si>
  <si>
    <t>Moral philosophy</t>
  </si>
  <si>
    <t>De vita excellentium imperatorum</t>
  </si>
  <si>
    <t>Nepos, Cornelius</t>
  </si>
  <si>
    <t>Cornelius Nepos' lives of eminent commanders are biographical history.</t>
  </si>
  <si>
    <t>Mémoires du cardinal Consalvi</t>
  </si>
  <si>
    <t>Crétineau-Joly, J.</t>
  </si>
  <si>
    <t>Our country's wealth and influence</t>
  </si>
  <si>
    <t>Historia natvralis</t>
  </si>
  <si>
    <t>Secvndi, Plinii</t>
  </si>
  <si>
    <t>Manual de albañilería : Dispuesto según loa adelantos modernos, con noticias históricos - científicas</t>
  </si>
  <si>
    <t>Bartueso y Balarga, D. Fulgencio</t>
  </si>
  <si>
    <t>A manual of masonry/building practice belongs to practical arts rather than history.</t>
  </si>
  <si>
    <t>Manual de albañilería dispuesto segun los adelantos modernos, con noticias histórico-científicas</t>
  </si>
  <si>
    <t>Mechanical / practical arts</t>
  </si>
  <si>
    <t>Jinrikisha days in Japan</t>
  </si>
  <si>
    <t>Scidmore, Eliza Ruhamah</t>
  </si>
  <si>
    <t>Jinrikisha Days in Japan</t>
  </si>
  <si>
    <t>Life and adventures of ben thompson : The famous texan</t>
  </si>
  <si>
    <t>Walton, W. M.</t>
  </si>
  <si>
    <t>Life and Adventures of Ben Thompson The Famous Texan</t>
  </si>
  <si>
    <t>Los desposados o sea el condestable de Chester : Historia del tiempo de las cruzadas</t>
  </si>
  <si>
    <t>Walter Scott fiction belongs to Belles-lettres.</t>
  </si>
  <si>
    <t>Los desposados o sea el condestable de Chester, historia del tiempo de Las Cruzadas</t>
  </si>
  <si>
    <t>Tthe tourusts' guide to Dublin &amp; Wicklow</t>
  </si>
  <si>
    <t>Wakeman, W. F.</t>
  </si>
  <si>
    <t>The Tourists' Guide to Dublin &amp; Wicklow</t>
  </si>
  <si>
    <t>Instrucciones de laboratorio o ejercicios progresivos de química práctica</t>
  </si>
  <si>
    <t>Bloxam, Carlos Loudon</t>
  </si>
  <si>
    <t>Practical chemistry laboratory exercises.</t>
  </si>
  <si>
    <t>Presentación del autor Charles Loudon Bloxam:</t>
  </si>
  <si>
    <t>77.7</t>
  </si>
  <si>
    <t>INSTRUCCIONES DE LABORATORIO O EJERCICIOS PROGRESIVOS DE ...</t>
  </si>
  <si>
    <t>54.5</t>
  </si>
  <si>
    <t>Laboratory teaching, or, Progressive exercises in practical ...</t>
  </si>
  <si>
    <t>52.9</t>
  </si>
  <si>
    <t>La grazia trionfante di Maria vergine madre di Dio: Poem</t>
  </si>
  <si>
    <t>Di Virgilio, Benedetto</t>
  </si>
  <si>
    <t>La grazia trionfante di Maria Vergine madre di Dio</t>
  </si>
  <si>
    <t>Emma Lady Hamilton : From new and original source and documents</t>
  </si>
  <si>
    <t>Sichel, walter</t>
  </si>
  <si>
    <t>emma lady hamilton from new and original sources and documents</t>
  </si>
  <si>
    <t>Down the bayou : An other poems</t>
  </si>
  <si>
    <t>Down the Bayou, and Other Poems</t>
  </si>
  <si>
    <t>Pete's name : A divine credential in a name</t>
  </si>
  <si>
    <t>Smyth - Vaudry, T.</t>
  </si>
  <si>
    <t>Peter's Name Or, A Divine Credential in a Name</t>
  </si>
  <si>
    <t>La révolution, recherches historiquessur l'origine et la propagation du mal en europe : Révolution Francaise</t>
  </si>
  <si>
    <t>Gaume</t>
  </si>
  <si>
    <t>La révolution: recherches historiques sur l'origine et la propagation du mal en Europe, depuis la Renaissance jusqu'à nos jours: Révolution française</t>
  </si>
  <si>
    <t>The dairyman's daughter</t>
  </si>
  <si>
    <t>Cottager</t>
  </si>
  <si>
    <t>The Dairyman's Daughter is an evangelical devotional tract, despite narrative form.</t>
  </si>
  <si>
    <t>The Dairyman's Daughter</t>
  </si>
  <si>
    <t>Devotional / religious tract</t>
  </si>
  <si>
    <t>Quis et qualis Pindarus : Thesim</t>
  </si>
  <si>
    <t>Montée, P.</t>
  </si>
  <si>
    <t>Study/thesis on Pindar, a classical literary author.</t>
  </si>
  <si>
    <t>Quis et qualis Pindarus moralium auctor exstiterit. Thesim ...</t>
  </si>
  <si>
    <t>65.7</t>
  </si>
  <si>
    <t>Amazon.fr - Quis et qualis Pindarus moralium auctor ...</t>
  </si>
  <si>
    <t>59.4</t>
  </si>
  <si>
    <t>Pierre Montée – Wikipedia</t>
  </si>
  <si>
    <t>41.1</t>
  </si>
  <si>
    <t>Cleff de la méthode ollendorff</t>
  </si>
  <si>
    <t>Ollendorff's</t>
  </si>
  <si>
    <t>Ollendorff's New Method of Learning to Read, Write, and Speak the German Language To which is Added a Systematic Outline of German Grammar</t>
  </si>
  <si>
    <t>Ireland's case state</t>
  </si>
  <si>
    <t>Froude</t>
  </si>
  <si>
    <t>Ireland's Case Stated is a historical-political reply concerning Irish history.</t>
  </si>
  <si>
    <t>Ireland's Case Stated in Reply to Mr. Froude</t>
  </si>
  <si>
    <t>Modern political history</t>
  </si>
  <si>
    <t>Wien : Illustrirter wegweiser</t>
  </si>
  <si>
    <t>Corresponde al enlace</t>
  </si>
  <si>
    <t>An illustrated guide to Vienna belongs to geography/travel.</t>
  </si>
  <si>
    <t>Wien</t>
  </si>
  <si>
    <t>de</t>
  </si>
  <si>
    <t>Geography / guidebook</t>
  </si>
  <si>
    <t>Souvenirs de campagne</t>
  </si>
  <si>
    <t>Silberman</t>
  </si>
  <si>
    <t>Campaign recollections are memoirs/historical testimony.</t>
  </si>
  <si>
    <t>Souvenirs de campagnes</t>
  </si>
  <si>
    <t>Memoirs / military history</t>
  </si>
  <si>
    <t>Rob Roy</t>
  </si>
  <si>
    <t>The black dwarf and old mortality</t>
  </si>
  <si>
    <t>The Black Dwarf and Old Mortality are Walter Scott novels.</t>
  </si>
  <si>
    <t>The black dwarf ; and Old mortality</t>
  </si>
  <si>
    <t>The fortunes of nigel</t>
  </si>
  <si>
    <t>The fortunes of Nigel</t>
  </si>
  <si>
    <t>The monastery and The abbot</t>
  </si>
  <si>
    <t>The monastery</t>
  </si>
  <si>
    <t>Ivanhoe  and The Talisman</t>
  </si>
  <si>
    <t>Ivanhoe And The Talisman</t>
  </si>
  <si>
    <t>Bride of  Lammermoor, Legend of montrose and Chronicles of the Cannongate</t>
  </si>
  <si>
    <t>Bride of Lammermoor, Legend of Montrose and Chronicles of the Canongate are fiction.</t>
  </si>
  <si>
    <t>The Waverly Novels The Bride of Lammermoor, a Legend of Montrose, the Chronicles of the Canongate and Keepsake Stories</t>
  </si>
  <si>
    <t>Red gauntlet and the pirate</t>
  </si>
  <si>
    <t>Redgauntlet ; The Pirate</t>
  </si>
  <si>
    <t>Peveril of the peak and the betrothed</t>
  </si>
  <si>
    <t>Peveril of the Peak, And, the Betrothed</t>
  </si>
  <si>
    <t>Kenilworth and St. Ronan's Well</t>
  </si>
  <si>
    <t>Kenilworth, and St. Ronan's Well</t>
  </si>
  <si>
    <t>Iliad</t>
  </si>
  <si>
    <t>Homer</t>
  </si>
  <si>
    <t>The Iliad</t>
  </si>
  <si>
    <t>Favorite poems</t>
  </si>
  <si>
    <t>The poetical works of wordsworth</t>
  </si>
  <si>
    <t>the poetical works of wordsworth</t>
  </si>
  <si>
    <t>Poems, plays, and essays</t>
  </si>
  <si>
    <t>Goldsmith, Oliver</t>
  </si>
  <si>
    <t>Poems, plays and essays</t>
  </si>
  <si>
    <t>Lady- bird</t>
  </si>
  <si>
    <t>Lady-Bird</t>
  </si>
  <si>
    <t>The heart of a child</t>
  </si>
  <si>
    <t>Danby, Frank</t>
  </si>
  <si>
    <t>The Heart Of A Child</t>
  </si>
  <si>
    <t>Voices of the night : Ballads and other poems</t>
  </si>
  <si>
    <t>Longfellow, Henry Wadsworth</t>
  </si>
  <si>
    <t>Voices of the night ballads and other poems</t>
  </si>
  <si>
    <t>Poems Plays and Essays</t>
  </si>
  <si>
    <t>Meredith, Owen</t>
  </si>
  <si>
    <t>The Poetical Works of Owen Meredith</t>
  </si>
  <si>
    <t>Ellen Middleton</t>
  </si>
  <si>
    <t>Verses: On various occasions</t>
  </si>
  <si>
    <t>Newman, John Henry</t>
  </si>
  <si>
    <t>Verses on various occasions</t>
  </si>
  <si>
    <t>Songs for the gousehold</t>
  </si>
  <si>
    <t>Winkworth, Catherine</t>
  </si>
  <si>
    <t>Songs for the Household is verse/poetry, even when religious in tone.</t>
  </si>
  <si>
    <t>Songs for the Household</t>
  </si>
  <si>
    <t>Colección de leyes y decretos</t>
  </si>
  <si>
    <t>Colección de leyes y decretos ... de Puebla</t>
  </si>
  <si>
    <t>Law / jurisprudence</t>
  </si>
  <si>
    <t>Le préparateuur - photographe : Traité de chimie a 'usage des photographes</t>
  </si>
  <si>
    <t>Phipson</t>
  </si>
  <si>
    <t>Le preparateur - photographe ou Traité de Chimie á l'usage des photographes</t>
  </si>
  <si>
    <t>The philippic orations of Demosthenes</t>
  </si>
  <si>
    <t>Demosthenes' Philippic orations belong to oratory.</t>
  </si>
  <si>
    <t>The Philippic orations of Demosthenes, with English notes</t>
  </si>
  <si>
    <t>Rhetoric / oratory</t>
  </si>
  <si>
    <t>Logique et principes de grammaire</t>
  </si>
  <si>
    <t>Marsais, M. Du</t>
  </si>
  <si>
    <t>The title explicitly foregrounds logic; Brunet places logic among philosophical sciences.</t>
  </si>
  <si>
    <t>Logique et principes de grammaire [microforme]</t>
  </si>
  <si>
    <t>Logic / philosophy</t>
  </si>
  <si>
    <t>Taciti : Opera quae exstant omnia</t>
  </si>
  <si>
    <t>Corn, C.</t>
  </si>
  <si>
    <t>Tacitus' works are historical.</t>
  </si>
  <si>
    <t>C. Cornelii Taciti Opera quae exstant omnia</t>
  </si>
  <si>
    <t>Browning, Elizabeth Barrett</t>
  </si>
  <si>
    <t>The Poetical Works of Elizabeth Barrett Browning</t>
  </si>
  <si>
    <t>Hemans</t>
  </si>
  <si>
    <t>The personal history of David Copperfield</t>
  </si>
  <si>
    <t>Dickens, Charles</t>
  </si>
  <si>
    <t>David Copperfield is a novel.</t>
  </si>
  <si>
    <t>Our mutual friend</t>
  </si>
  <si>
    <t>The pickwick club</t>
  </si>
  <si>
    <t>the pickwick club</t>
  </si>
  <si>
    <t>Le prêtre : La femme et la famille</t>
  </si>
  <si>
    <t>Michelet, J.</t>
  </si>
  <si>
    <t>Michelet's social-religious polemic is treated here as moral/social thought rather than narrative literature.</t>
  </si>
  <si>
    <t>Le prêtre, la femme et la famille</t>
  </si>
  <si>
    <t>Moral / social philosophy</t>
  </si>
  <si>
    <t>Loss and gain : The story of a convert</t>
  </si>
  <si>
    <t>Loss and Gain is a novel.</t>
  </si>
  <si>
    <t>Loss and gain; the story of a convert</t>
  </si>
  <si>
    <t>The modern chess instructor</t>
  </si>
  <si>
    <t>Steinitz, W.</t>
  </si>
  <si>
    <t>The life and aventures of Nicholas Nickleby</t>
  </si>
  <si>
    <t>The Life and Adventures of Nicholas Nickleby</t>
  </si>
  <si>
    <t>The adventures of Oliver Twist</t>
  </si>
  <si>
    <t>Oliver Twist is a novel.</t>
  </si>
  <si>
    <t>Pictures from Italy and American notes</t>
  </si>
  <si>
    <t>Pictures from Italy ; and, American notes</t>
  </si>
  <si>
    <t>Sketches by boz</t>
  </si>
  <si>
    <t>Sketches by Boz</t>
  </si>
  <si>
    <t>Christmas book</t>
  </si>
  <si>
    <t>Dickens' Christmas Books are literary fiction.</t>
  </si>
  <si>
    <t>Christmas Books</t>
  </si>
  <si>
    <t>The life and adventures of Martin Chuzzlewit</t>
  </si>
  <si>
    <t>Dombey and son</t>
  </si>
  <si>
    <t>Dombey and Son</t>
  </si>
  <si>
    <t>Bleak house</t>
  </si>
  <si>
    <t>Bleak House</t>
  </si>
  <si>
    <t>The old curiosity shop</t>
  </si>
  <si>
    <t>The Old Curiosity Shop</t>
  </si>
  <si>
    <t>Little Dorrit</t>
  </si>
  <si>
    <t>Christams stories</t>
  </si>
  <si>
    <t>Dickens' Christmas Stories are literary fiction.</t>
  </si>
  <si>
    <t>Christmas Stories</t>
  </si>
  <si>
    <t>Barnaby rudge</t>
  </si>
  <si>
    <t>Barnaby Rudge</t>
  </si>
  <si>
    <t>The earlypoems</t>
  </si>
  <si>
    <t>Whittier, John Greenleaf</t>
  </si>
  <si>
    <t>The Early Poems</t>
  </si>
  <si>
    <t>Hypatia : Or new foes with an old face</t>
  </si>
  <si>
    <t>Kingsley, Charles</t>
  </si>
  <si>
    <t>Hypatia : [or, New foes with an old face]</t>
  </si>
  <si>
    <t>Storia del sommo pontefice Innocenzo III</t>
  </si>
  <si>
    <t>Hurter, Federico</t>
  </si>
  <si>
    <t>Storia del Sommo Pontefice Innocenzo III</t>
  </si>
  <si>
    <t>A grammar of the latin language</t>
  </si>
  <si>
    <t>Zumpt, C. G.</t>
  </si>
  <si>
    <t>A grammar of the Latin language</t>
  </si>
  <si>
    <t>Las vias del corazon : Relatos de ayer</t>
  </si>
  <si>
    <t>Franco, D. Juan José</t>
  </si>
  <si>
    <t>Relatos de ayer is narrative prose.</t>
  </si>
  <si>
    <t>Las vías del corazón relato de ayer</t>
  </si>
  <si>
    <t>Prose fiction / tales</t>
  </si>
  <si>
    <t>The history of greece</t>
  </si>
  <si>
    <t>Keigtley, Thomas</t>
  </si>
  <si>
    <t>The History Of Greece Vol-3</t>
  </si>
  <si>
    <t>Londres moyen d'y vivre : Pour cinq fracs par jour</t>
  </si>
  <si>
    <t>Champion, G. Hardinge</t>
  </si>
  <si>
    <t>Londres, moyen d'y vivre pour cinq francs par jour; guide des étrangers dans Londres, etc</t>
  </si>
  <si>
    <t>Histoire de la littérature grecque</t>
  </si>
  <si>
    <t>Histoire de la Littérature Grecque</t>
  </si>
  <si>
    <t>Discurso sobre la educación popular de los artesanos, y su fomento</t>
  </si>
  <si>
    <t>Discurso sobre la educacion popular de los artesanos, y su fomento</t>
  </si>
  <si>
    <t>Quinti horatti flacci opera</t>
  </si>
  <si>
    <t>Bond, Joannis</t>
  </si>
  <si>
    <t>Las obras de Horacio, con nuevo comentario al modo de Juan Bond(De ahí el nombre del autor) . Este texto se hizo enormemente popular como edición escolar y se siguió reimprimiendo, con distintos editores e imprentas, durante más de 250 años en toda Europa</t>
  </si>
  <si>
    <t>Quinti Horatii Flacci Opera</t>
  </si>
  <si>
    <t>Délassements dramatiques</t>
  </si>
  <si>
    <t>Lebardin,M.</t>
  </si>
  <si>
    <t>Dramatic entertainments/plays.</t>
  </si>
  <si>
    <t>Notice bibliographique Délassements dramatiques et à l'usage ...</t>
  </si>
  <si>
    <t>85.6</t>
  </si>
  <si>
    <t>Catalog Record: L'expiation drame en trois actes, avec chants ...</t>
  </si>
  <si>
    <t>47.5</t>
  </si>
  <si>
    <t>L'expiation [microforme] : drame en trois actes, avec chants ...</t>
  </si>
  <si>
    <t>46.5</t>
  </si>
  <si>
    <t>La terra santa</t>
  </si>
  <si>
    <t>Cassini, Francesco</t>
  </si>
  <si>
    <t>Holy Land title, treated provisionally as geography/travel.</t>
  </si>
  <si>
    <t>La Terra Santa - Francesco Cassini da Perinaldo - Google Books</t>
  </si>
  <si>
    <t>92.0</t>
  </si>
  <si>
    <t>La Terra Santa descritta dal Padre Francesco Cassini da ...</t>
  </si>
  <si>
    <t>87.2</t>
  </si>
  <si>
    <t>Epistole e colloqui su Terra Santa in due decadi del padre ...</t>
  </si>
  <si>
    <t>81.6</t>
  </si>
  <si>
    <t>Terentius</t>
  </si>
  <si>
    <t>Publius Terentius im Versmaß der Urschrift. 4</t>
  </si>
  <si>
    <t>Memoria : La meteorología aplicada a la agricultura</t>
  </si>
  <si>
    <t>Toaldo, D. Josef</t>
  </si>
  <si>
    <t>La Meteorologia aplicada á la agricultura memoria premiada por la sociedad Real de las ciencias de Montpellier</t>
  </si>
  <si>
    <t>Maitresse mystique</t>
  </si>
  <si>
    <t>Wylm, Antoine</t>
  </si>
  <si>
    <t>Corregir</t>
  </si>
  <si>
    <t>Novela, prosa de ficción. Aunque el contenido sea de tono erótico/sentimental, formalmente es una obra de ficción narrativa en prosa ,no un tratado médico ni un texto doctrinal</t>
  </si>
  <si>
    <t>Title explicitly invokes mystical subject matter; provisional theology.</t>
  </si>
  <si>
    <t>MAITRESSE MYSTIQUE - LES CARNETS DU DOCTEUR HEURTAULT de WYLM ...</t>
  </si>
  <si>
    <t>82.8</t>
  </si>
  <si>
    <t>Carnets Docteur Heurtault Maitresse Mystique by Wylm Antoine</t>
  </si>
  <si>
    <t>59.7</t>
  </si>
  <si>
    <t>Censura sacrae Facultatis Theologiae Parisiensis, lata in librum qui inscribitur, La mystique cite de Dieu, miracle de sa toute-puissance, abi me de la grace, histoire divine, &amp; la vie de la Tres-Sainte Vierge Marie, mere de Dieu, no tre reine &amp; maitresse</t>
  </si>
  <si>
    <t>Universite de Paris. Faculte de the ologie</t>
  </si>
  <si>
    <t>21.1</t>
  </si>
  <si>
    <t>Atlas elementar : Metodo nuevo, breve, facil .</t>
  </si>
  <si>
    <t>Atlas elementar</t>
  </si>
  <si>
    <t>Poema del caballero de Florian</t>
  </si>
  <si>
    <t>Pompilio, Numa</t>
  </si>
  <si>
    <t>The work is explicitly a poem.</t>
  </si>
  <si>
    <t>Numa Pompilio segundo rey de Roma, poema del caballero de Florian</t>
  </si>
  <si>
    <t>El mismo texto de la celda anterior</t>
  </si>
  <si>
    <t>Curso completo elemental de matemáticas puras : Aritmetica</t>
  </si>
  <si>
    <t>Lacroix, S. F</t>
  </si>
  <si>
    <t>Curso completo elemental de matemáticas puras Aritmética</t>
  </si>
  <si>
    <t>pt</t>
  </si>
  <si>
    <t>Scelte poesie italiane</t>
  </si>
  <si>
    <t>Monti, Vicenzo... et al.</t>
  </si>
  <si>
    <t>Scelte poesie italiane is poetry.</t>
  </si>
  <si>
    <t>Saggio di poesie</t>
  </si>
  <si>
    <t>Morrelli, D. Francesco</t>
  </si>
  <si>
    <t>Saggio di poesie is poetry.</t>
  </si>
  <si>
    <t>Nuevo vocabulario filosófico - democrático</t>
  </si>
  <si>
    <t>A philosophical-democratic vocabulary is treated as political/philosophical thought; reviewer should confirm satirical/literary character.</t>
  </si>
  <si>
    <t>Nuevo vocabulario filosofico-democratico</t>
  </si>
  <si>
    <t>Political / moral philosophy</t>
  </si>
  <si>
    <t>Les elements de la languaje angloise</t>
  </si>
  <si>
    <t>Peyton, V. J.</t>
  </si>
  <si>
    <t>Les Elements de la langue anglaise par V. J. Peyton</t>
  </si>
  <si>
    <t>Riposte a due pastori protestanti</t>
  </si>
  <si>
    <t>Buselli, P. Remigio</t>
  </si>
  <si>
    <t>Reply to Protestant pastors; religious controversy.</t>
  </si>
  <si>
    <t>Risposte A Due Pastori Protestanti Buselli Bettazzi 1864L'Emmaus evangelico dimostrato e difeso: distante 60 stadi da ...Buselli Remigio - AbeBooksRebus della Settimana – Le soluzioni ai rebus de "La ...</t>
  </si>
  <si>
    <t>77.4</t>
  </si>
  <si>
    <t>Buselli remigio – Iberlibro</t>
  </si>
  <si>
    <t>68.1</t>
  </si>
  <si>
    <t>L'Emmaus evangelico dimostrato e difeso: distante 60 stadi da ...</t>
  </si>
  <si>
    <t>46.7</t>
  </si>
  <si>
    <t>Regula cleri</t>
  </si>
  <si>
    <t>Regula cleri concerns clerical religious life and duties; treated as pastoral theology.</t>
  </si>
  <si>
    <t>Pastoral theology / clergy</t>
  </si>
  <si>
    <t>Notice historique</t>
  </si>
  <si>
    <t>Explicit historical notice, although the subject is unspecified.</t>
  </si>
  <si>
    <t>Notice historique | Gallica</t>
  </si>
  <si>
    <t>64.5</t>
  </si>
  <si>
    <t>NOTICE HISTORIQUE SUR REYRIEUX</t>
  </si>
  <si>
    <t>Marie Claude Guigue</t>
  </si>
  <si>
    <t>60.1</t>
  </si>
  <si>
    <t>NOTICE HISTORIQUE SUR LA FAMILLE ROCHAT</t>
  </si>
  <si>
    <t>Rémy Rochat</t>
  </si>
  <si>
    <t>56.7</t>
  </si>
  <si>
    <t>Modeles d'eloquence : Ou les traits brillans des orateurs francois</t>
  </si>
  <si>
    <t>Models of eloquence/orators; rhetoric.</t>
  </si>
  <si>
    <t>Modèles d'éloquence, ou les traits brillans des orateurs ...</t>
  </si>
  <si>
    <t>87.0</t>
  </si>
  <si>
    <t>Rhétorique et Éloquence : Les Techniques des Grands Orateurs</t>
  </si>
  <si>
    <t>52.2</t>
  </si>
  <si>
    <t>Comprendre les différents types d'éloquence</t>
  </si>
  <si>
    <t>42.8</t>
  </si>
  <si>
    <t>Hrace, juvénal et perse : Les satiriques latins</t>
  </si>
  <si>
    <t>Nisard, M.</t>
  </si>
  <si>
    <t>Latin satirists Horace, Juvenal and Persius.</t>
  </si>
  <si>
    <t>evidencia_manual</t>
  </si>
  <si>
    <t>97.0</t>
  </si>
  <si>
    <t>Oeuvres complétes d'Horace, de Juvénal, de Perse, de Sulpicia ...</t>
  </si>
  <si>
    <t>63.8</t>
  </si>
  <si>
    <t>Horace, Juvénal et Perse Oeuvres complètes - M. Nisard | Libra...</t>
  </si>
  <si>
    <t>62.1</t>
  </si>
  <si>
    <t>https://books.google.com.mx/books/about/Les_Satiriques_Latins.html?id=j3vSUCX_TNoC&amp;redir_esc=y</t>
  </si>
  <si>
    <t>Cornelli Nepotis : Vitae excellntium imperatorum</t>
  </si>
  <si>
    <t>Cornelius Nepos' Vitae are biographies of commanders.</t>
  </si>
  <si>
    <t>Cornelii Nepotis Vitae excellenrium imperatorum</t>
  </si>
  <si>
    <t>Biography / ancient history</t>
  </si>
  <si>
    <t>theocritus bion moschus</t>
  </si>
  <si>
    <t>Theocritus, Bion, Moschus</t>
  </si>
  <si>
    <t>The fourth reader</t>
  </si>
  <si>
    <t>The Fourth Reader</t>
  </si>
  <si>
    <t>The Poetical Works Of Henry Wadsworth Longfellow;</t>
  </si>
  <si>
    <t>Hemans, Felicia</t>
  </si>
  <si>
    <t>Poems, plays, and essays.</t>
  </si>
  <si>
    <t>Felicia Dorothea Hemans Poems - Poem Hunter</t>
  </si>
  <si>
    <t>59.5</t>
  </si>
  <si>
    <t>The poems of Felicia Hemans : Hemans, Mrs., 1793-1835 : Free ...</t>
  </si>
  <si>
    <t>57.7</t>
  </si>
  <si>
    <t>https://www.gutenberg.org/files/66785/66785-h/66785-h.htm</t>
  </si>
  <si>
    <t>Abrir enlace</t>
  </si>
  <si>
    <t>Homeri odyssea</t>
  </si>
  <si>
    <t>Homeri</t>
  </si>
  <si>
    <t>Homeri Odyssea</t>
  </si>
  <si>
    <t>The elements of experimental chemistry</t>
  </si>
  <si>
    <t>Henry, William</t>
  </si>
  <si>
    <t>The Elements of Experimental Chemistry</t>
  </si>
  <si>
    <t>Nova grammatica franceza</t>
  </si>
  <si>
    <t>Abbadie, D. Joaô - Maria-N</t>
  </si>
  <si>
    <t>French grammar.</t>
  </si>
  <si>
    <t>ABBADIE (D. JOÃO-MARIA-N. A.) – NOVA GRAMMATICA</t>
  </si>
  <si>
    <t>79.2</t>
  </si>
  <si>
    <t>Lote - Nova Gramática. Para aprender a traduzir, fallar e ...</t>
  </si>
  <si>
    <t>64.1</t>
  </si>
  <si>
    <t>https://www.homemdoslivros.com/2014/03/nova-gramatica.html</t>
  </si>
  <si>
    <t>The history of the popes, from the close of the middle ages</t>
  </si>
  <si>
    <t>Pastor, Ludwig</t>
  </si>
  <si>
    <t>Es una obra de historiografía erudita y documentada sobre las instituciones y personajes históricos del papado, no un tratado dogmático ni un texto devocional, por lo que cae en Histoire, en el apartado específico de historia eclesiástica,</t>
  </si>
  <si>
    <t>A history of the popes is historical even though its subject is ecclesiastical.</t>
  </si>
  <si>
    <t>Church / papal history</t>
  </si>
  <si>
    <t>Traité de chimie générale et expérimentale</t>
  </si>
  <si>
    <t>Baudrimont, A.</t>
  </si>
  <si>
    <t>The title is explicitly a chemistry treatise.</t>
  </si>
  <si>
    <t>Traité de chimie générale et expériméntale</t>
  </si>
  <si>
    <t>Chemistry</t>
  </si>
  <si>
    <t>Igual que la celda anterior</t>
  </si>
  <si>
    <t>Pellegrinaggio storico e descrittivo di terrasanta</t>
  </si>
  <si>
    <t>Bassi, P. Alessandro</t>
  </si>
  <si>
    <t>A historical and descriptive pilgrimage to the Holy Land is travel/geography/history.</t>
  </si>
  <si>
    <t>Pellegrinaggio storico e descrittivo di Terrasanta</t>
  </si>
  <si>
    <t>Travel / Holy Land description</t>
  </si>
  <si>
    <t>Los mártires : Historia de los tres primeros siglos del cristianismo</t>
  </si>
  <si>
    <t>Muñoz Maldonado, José</t>
  </si>
  <si>
    <t>A history of the martyrs and first centuries of Christianity belongs to church history.</t>
  </si>
  <si>
    <t>Las Catacumbas, Ó, Los Mártires</t>
  </si>
  <si>
    <t>History of Christianity</t>
  </si>
  <si>
    <t>Vida del papa Clemente XIV : Ganganeli</t>
  </si>
  <si>
    <t>Caracciolo</t>
  </si>
  <si>
    <t>A life of Pope Clement XIV is biography.</t>
  </si>
  <si>
    <t>Vida del Papa Clemente XIV</t>
  </si>
  <si>
    <t>Histoire de Jésusalem : Tableau religieux et philosophique</t>
  </si>
  <si>
    <t>Poujoulat, M.</t>
  </si>
  <si>
    <t>Histoire de Jérusalem is a historical work.</t>
  </si>
  <si>
    <t>Histoire de Jérusalem, tableau religieux et philosophique</t>
  </si>
  <si>
    <t>History / geography of Jerusalem</t>
  </si>
  <si>
    <t>History of Jerusalem; religious subject but historical form.</t>
  </si>
  <si>
    <t>Notice bibliographique Histoire de Jérusalem, tableau religieux et ...</t>
  </si>
  <si>
    <t>74.3</t>
  </si>
  <si>
    <t>Histoire de Jérusalem - Poujoulat (M., Jean-Joseph-François ...</t>
  </si>
  <si>
    <t>https://books.google.com.mx/books/about/Histoire_de_J%C3%A9rusalem_tableau_religieux.html?id=yg030_kwdiwC&amp;redir_esc=y</t>
  </si>
  <si>
    <t>Gramática latina</t>
  </si>
  <si>
    <t>Nebrija, Antonio de</t>
  </si>
  <si>
    <t>Gramatica latina</t>
  </si>
  <si>
    <t>Aeschyli : Traggediae septem</t>
  </si>
  <si>
    <t>Tragedies of Aeschylus.</t>
  </si>
  <si>
    <t>Aeschyli Tragoediae septem - Aeschylus - Google Books</t>
  </si>
  <si>
    <t>45.2</t>
  </si>
  <si>
    <t>Aischylou tragōdiai hepta. Aeschyli tragoediae septem:</t>
  </si>
  <si>
    <t>43.5</t>
  </si>
  <si>
    <t>Aeschyli septem quae supersunt tragoediae - Aeschylus ...</t>
  </si>
  <si>
    <t>43.0</t>
  </si>
  <si>
    <t>Marci Antonini imperatoris</t>
  </si>
  <si>
    <t>Marcus Aurelius' Meditations are moral philosophy.</t>
  </si>
  <si>
    <t>Marci Antonini imperatoris in semet ipsvm libri XII</t>
  </si>
  <si>
    <t>Manuale di filosofía sperimentale</t>
  </si>
  <si>
    <t>Amice, I. F.</t>
  </si>
  <si>
    <t>Experimental philosophy.</t>
  </si>
  <si>
    <t>Amice I F - AbeBooks</t>
  </si>
  <si>
    <t>55.5</t>
  </si>
  <si>
    <t>Manuale di Filosofia - Archive.org</t>
  </si>
  <si>
    <t>21.7</t>
  </si>
  <si>
    <t>https://books.google.com.mx/books/about/Manuale_di_filosofia_sperimentale.html?id=3NBtcIJDjZwC&amp;redir_esc=y</t>
  </si>
  <si>
    <t>Descripción ó reseña del santuario de la vírgen de Guadalupe</t>
  </si>
  <si>
    <t>González Ponce, A.</t>
  </si>
  <si>
    <t>Description/history of the shrine of Guadalupe; treated as descriptive/history rather than devotion.</t>
  </si>
  <si>
    <t>94.6</t>
  </si>
  <si>
    <t>Reseña a F. J. González Ponce, F. J. Gómez Espelosín y A. L ...</t>
  </si>
  <si>
    <t>56.1</t>
  </si>
  <si>
    <t>Francisco Javier González Ponce, Premio Internacional de ...</t>
  </si>
  <si>
    <t>48.2</t>
  </si>
  <si>
    <t>https://bibliotecadigital.museodelprado.es/pradobib/es/bib/12781.do</t>
  </si>
  <si>
    <t>Comedies grecques D'Aristophane</t>
  </si>
  <si>
    <t>Aristophane</t>
  </si>
  <si>
    <t>Comedies grecques d'Aristophane</t>
  </si>
  <si>
    <t>Biblioteca di Apollodoro</t>
  </si>
  <si>
    <t>Apollodorus' Bibliotheca is mythography; Brunet places mythology under History of religions.</t>
  </si>
  <si>
    <t>Biblioteca Di Apollodoro Ateniese...</t>
  </si>
  <si>
    <t>Mythology / history of religions</t>
  </si>
  <si>
    <t>L'eneide di Virgilio</t>
  </si>
  <si>
    <t>L'Eneide di Virgilio</t>
  </si>
  <si>
    <t>Víctor : Roma en los primeros tiempos del cristianismo</t>
  </si>
  <si>
    <t>Gay, P. F.</t>
  </si>
  <si>
    <t>The candidate explicitly identifies the work as a historical-religious novel.</t>
  </si>
  <si>
    <t>Víctor o Roma en los primeros tiempos del cristianismo novela histórico-religiosa</t>
  </si>
  <si>
    <t>Historical-religious fiction</t>
  </si>
  <si>
    <t>Introductions to the study of the greek classic  poets</t>
  </si>
  <si>
    <t>Coleridge, Henry Nelson</t>
  </si>
  <si>
    <t>Introductions to the Study of the Greek Classic Poets</t>
  </si>
  <si>
    <t>Oeuvres de Jean Racine</t>
  </si>
  <si>
    <t>Racine, Jean</t>
  </si>
  <si>
    <t>Mélanges de poésie et de littérature</t>
  </si>
  <si>
    <t>Florian</t>
  </si>
  <si>
    <t>Paul et virginie</t>
  </si>
  <si>
    <t>Saint-Pierre, J. H. Bernardin</t>
  </si>
  <si>
    <t>Paul et Virginie is prose fiction.</t>
  </si>
  <si>
    <t>Paul et Virginie</t>
  </si>
  <si>
    <t>Selectae fabulae: Ex libris metamorphoseon</t>
  </si>
  <si>
    <t>Nasonis, Ovidii</t>
  </si>
  <si>
    <t>Selectae fabulae ex libris Metamorphoseon</t>
  </si>
  <si>
    <t>The olynthiac orations of Demosthenes</t>
  </si>
  <si>
    <t>Demosthenes</t>
  </si>
  <si>
    <t>Demosthenes' Olynthiac orations belong to oratory.</t>
  </si>
  <si>
    <t>The Olynthiac orations of Demosthenes</t>
  </si>
  <si>
    <t>Formulaire des médecins praticiens</t>
  </si>
  <si>
    <t>Foy, F.</t>
  </si>
  <si>
    <t>Medical formulary.</t>
  </si>
  <si>
    <t>Formulaire des médecins praticiens,... par M. le Dr F. Foy ...</t>
  </si>
  <si>
    <t>91.4</t>
  </si>
  <si>
    <t>Formulaire des médecins praticiens... 4e édition / François ...</t>
  </si>
  <si>
    <t>91.0</t>
  </si>
  <si>
    <t>Notice bibliographique Formulaire des médecins praticiens ...</t>
  </si>
  <si>
    <t>90.3</t>
  </si>
  <si>
    <t>Moïse : Les géologues modernes</t>
  </si>
  <si>
    <t>Moïse</t>
  </si>
  <si>
    <t>The work compares Genesis/Moses with modern geology; treated primarily as biblical apologetics.</t>
  </si>
  <si>
    <t>Moīse et les géologues modernes, ou, Le récit de la Genèse: comparé aux théories nouvelles des ...</t>
  </si>
  <si>
    <t>Biblical apologetics</t>
  </si>
  <si>
    <t>Scintillae ignatianae sive : Sancti ignatii de Loyola</t>
  </si>
  <si>
    <t>Hevenesi, Grabrielem</t>
  </si>
  <si>
    <t>Scintillae ignatianae sive sancti Ignatii de Loyola</t>
  </si>
  <si>
    <t>Notios elementaires d'histoire naturelle : Minéralogie</t>
  </si>
  <si>
    <t>Delafosse, M.</t>
  </si>
  <si>
    <t>Natural history/mineralogy.</t>
  </si>
  <si>
    <t>Notions élémentaires d'histoire naturelle. Minéralogie / par ...</t>
  </si>
  <si>
    <t>96.0</t>
  </si>
  <si>
    <t>Notions élémentaires d'histoire naturelle: 1re partie ...</t>
  </si>
  <si>
    <t>85.7</t>
  </si>
  <si>
    <t>Notions élémentaires d'histoire naturelle, par G. Delafosse ...</t>
  </si>
  <si>
    <t>84.0</t>
  </si>
  <si>
    <t>Manuale graecarum : Lexico novi testamen</t>
  </si>
  <si>
    <t>Greek lexicon of the New Testament; classified as language/philology.</t>
  </si>
  <si>
    <t>Lexicon manuale Graeco-Latinum in libros Novi Testamenti</t>
  </si>
  <si>
    <t>59.0</t>
  </si>
  <si>
    <t>Lexicon Novi Testamenti Graeco-Latino-Belgicum. Seu, Manuale ...</t>
  </si>
  <si>
    <t>Manuale Græcarum vocum N. Testamenti. By Georgius Pasor</t>
  </si>
  <si>
    <t>44.2</t>
  </si>
  <si>
    <t>Histoire de Gil Blas de Santillane</t>
  </si>
  <si>
    <t>Lesage</t>
  </si>
  <si>
    <t>Gil Blas is a novel.</t>
  </si>
  <si>
    <t>Histoire De Gil Blas De Santillane</t>
  </si>
  <si>
    <t>La misma obra de la celda anterior</t>
  </si>
  <si>
    <t>Poesie di Alessandro Fabri</t>
  </si>
  <si>
    <t>Fabri, Alessandro</t>
  </si>
  <si>
    <t>Poesie di Alessandro Fabri ..</t>
  </si>
  <si>
    <t>The eton greek grammar</t>
  </si>
  <si>
    <t>THE ETON GREEK GRAMMAR WITH BP. WORDSWORTH'S SYNTAX</t>
  </si>
  <si>
    <t>Reflexiones sobre el modo de enseñar el idioma latino</t>
  </si>
  <si>
    <t>Zenizo, Francisco</t>
  </si>
  <si>
    <t>Teaching the Latin language.</t>
  </si>
  <si>
    <t>Reflexiones Sobre El Modo de Enseñar El Idioma Latino | PDF ...</t>
  </si>
  <si>
    <t>61.2</t>
  </si>
  <si>
    <t>ia800802.us.archive.org</t>
  </si>
  <si>
    <t>50.2</t>
  </si>
  <si>
    <t>Reflexiones sobre el oficio de enseñar | PDF | Pedagogía ...</t>
  </si>
  <si>
    <t>37.7</t>
  </si>
  <si>
    <t>El niño : En los verdaderos principios de la sana filosofía</t>
  </si>
  <si>
    <t>Palacios, Inocente</t>
  </si>
  <si>
    <t>Philosophy.</t>
  </si>
  <si>
    <t>El niño ilustrado en los verdaderos principios de la sana ...</t>
  </si>
  <si>
    <t>94.4</t>
  </si>
  <si>
    <t>Palacios de la asunción inocente – Iberlibro</t>
  </si>
  <si>
    <t>81.7</t>
  </si>
  <si>
    <t>El Nino Inocente - YouTubeEl niño ilustrado en los verdaderos principios de la sana ...Un Niño en El Palacio de Aladino // Película Completa Doblada ...El niño ilustrado en los verdaderos principios de la sana ...Lino Palacio - Wikipedia, la enciclopedia libreInocente Palacios - WikiPía</t>
  </si>
  <si>
    <t>78.3</t>
  </si>
  <si>
    <t>Les auteurs grecs</t>
  </si>
  <si>
    <t>Chrysostome, Saint Jean</t>
  </si>
  <si>
    <t>Greek authors; literary/philological compilation.</t>
  </si>
  <si>
    <t>Les auteurs grecs expliqués d'après une méthode nouvelle par deux ...</t>
  </si>
  <si>
    <t>81.4</t>
  </si>
  <si>
    <t>Les Auteurs Grecs. St Jean Chrysostome : Homélie sur Eutrope.</t>
  </si>
  <si>
    <t>Les Oeuvres complète de Jean Chrisostome - LEVIGILANT.COM</t>
  </si>
  <si>
    <t>46.3</t>
  </si>
  <si>
    <t>The end of man</t>
  </si>
  <si>
    <t>Christie, Albany James</t>
  </si>
  <si>
    <t>The End of Man is a long devotional poem; classification follows literary form.</t>
  </si>
  <si>
    <t>Practical observations on venereal complaints</t>
  </si>
  <si>
    <t>Swediaur, F.</t>
  </si>
  <si>
    <t>A medical work on venereal complaints.</t>
  </si>
  <si>
    <t>Medicine</t>
  </si>
  <si>
    <t>Pesías de D. Manuel Cañete</t>
  </si>
  <si>
    <t>Cañete, D. Manuel</t>
  </si>
  <si>
    <t>Poetry.</t>
  </si>
  <si>
    <t>Poesías de D. Manuel Cañete</t>
  </si>
  <si>
    <t>88.4</t>
  </si>
  <si>
    <t>Poesías - Manuel Cañete - Google Books</t>
  </si>
  <si>
    <t>81.8</t>
  </si>
  <si>
    <t>Poesías : Manuel Cañete : Free Download, Borrow, and ...</t>
  </si>
  <si>
    <t>76.9</t>
  </si>
  <si>
    <t>Les poësies de Virgile</t>
  </si>
  <si>
    <t>Virgile</t>
  </si>
  <si>
    <t>Cornelli</t>
  </si>
  <si>
    <t>Lives of eminent commanders; biography/history.</t>
  </si>
  <si>
    <t>Cornelli Nepotis vitae excellentium imperatorum - Rare Book ...</t>
  </si>
  <si>
    <t>86.8</t>
  </si>
  <si>
    <t>Cornelli Nepotis vitæ excellentium imperatorum ex editione J ...</t>
  </si>
  <si>
    <t>79.3</t>
  </si>
  <si>
    <t>CORNELLI NEPOTIS VITAE EXCELLENTIUM IMPERATORUM / NOUVELLE ...</t>
  </si>
  <si>
    <t>64.2</t>
  </si>
  <si>
    <t>Opere volggari</t>
  </si>
  <si>
    <t>Farsetti, Tommaso Giuseppe</t>
  </si>
  <si>
    <t>Collected vernacular works; literary form inferred from title.</t>
  </si>
  <si>
    <t>Opere volgari… – Studio Benacense Riva del Garda</t>
  </si>
  <si>
    <t>opere volgari von farsetti tommaso giuseppe - ZVAB</t>
  </si>
  <si>
    <t>57.6</t>
  </si>
  <si>
    <t>Opere volgari&amp; de FARSETTI TOMMASO GIUSEPPE.: (1764) | Studio ...</t>
  </si>
  <si>
    <t>56.6</t>
  </si>
  <si>
    <t>Opere</t>
  </si>
  <si>
    <t>Bentivoglio, Guido</t>
  </si>
  <si>
    <t>Bentivoglio's Opere are predominantly historical/diplomatic works; candidate should be checked by edition.</t>
  </si>
  <si>
    <t>Historical works / memoirs</t>
  </si>
  <si>
    <t>Graecae grammatices : Rudimenta</t>
  </si>
  <si>
    <t>Greek grammar belongs to language and grammar.</t>
  </si>
  <si>
    <t>Graecae grammatices rudimenta</t>
  </si>
  <si>
    <t>The witch of rosenburg : A drama in three acts</t>
  </si>
  <si>
    <t>Eminence Cardinal Wiseman</t>
  </si>
  <si>
    <t>The witch of Rosenburg : a drama in three acts</t>
  </si>
  <si>
    <t>Oeuvres de F. Rabelais</t>
  </si>
  <si>
    <t>Rabelais, F.</t>
  </si>
  <si>
    <t>The triumph of failure</t>
  </si>
  <si>
    <t>The Triumph of Failure appears to be narrative fiction; retain for human confirmation.</t>
  </si>
  <si>
    <t>Diccionario de antigüedades cristianas</t>
  </si>
  <si>
    <t>Martigny</t>
  </si>
  <si>
    <t>Dictionary of Christian antiquities; treated as historical/antiquarian reference.</t>
  </si>
  <si>
    <t>Diccionario de antigüedades cristianas: comprende desde los ...</t>
  </si>
  <si>
    <t>97.1</t>
  </si>
  <si>
    <t>ListarLibro Antiguo por tema "Antiguedades cristianas-Diccionarios"</t>
  </si>
  <si>
    <t>81.9</t>
  </si>
  <si>
    <t>Martigny Diccionario Las Antigüedades Cristiana Numero ...</t>
  </si>
  <si>
    <t>61.9</t>
  </si>
  <si>
    <t>Ortografía de la lengua casstellana</t>
  </si>
  <si>
    <t>Orthography of the Spanish language.</t>
  </si>
  <si>
    <t>Ortografía de la lengua castellana</t>
  </si>
  <si>
    <t>55.0</t>
  </si>
  <si>
    <t>La ortografía | Ortografía de la lengua española | RAE - ASALE</t>
  </si>
  <si>
    <t>42.7</t>
  </si>
  <si>
    <t>ORTOGRAFÍA de la LENGUA ESPAÑO - UNAM</t>
  </si>
  <si>
    <t>41.0</t>
  </si>
  <si>
    <t>Diccionario de ciencias eclesiásticas</t>
  </si>
  <si>
    <t>Alonso Perujo, Niceto</t>
  </si>
  <si>
    <t>Dictionary of ecclesiastical sciences.</t>
  </si>
  <si>
    <t>Archive.org</t>
  </si>
  <si>
    <t>85.5</t>
  </si>
  <si>
    <t>Pe. Niceto Alonso Perujo : Free Download, Borrow, and ...</t>
  </si>
  <si>
    <t>https://dn760109.eu.archive.org/0/items/narraciones-d-ela-eternidad-pe.-niceto-alonso-perujo/Diccionario%20de%20Ciencias%20Eclesiasticas%20-%20Niceto%20Perujo%2C%20Juan%20Perez%20Angulo%20%5BTomo%203%5D.pdf</t>
  </si>
  <si>
    <t>Cartas imoprtantes del Papa Clemente XVI</t>
  </si>
  <si>
    <t>Papa Clemente XIV</t>
  </si>
  <si>
    <t>Letters of Pope Clement XIV; papal/religious material.</t>
  </si>
  <si>
    <t>Cartas Importantes del Papa Clemente XIV - Rafael Poveda</t>
  </si>
  <si>
    <t>86.7</t>
  </si>
  <si>
    <t>Cartas importantes del Papa Clemente XIV (Ganganeli)</t>
  </si>
  <si>
    <t>86.1</t>
  </si>
  <si>
    <t>Catalog Record: Cartas importantes del Papa Clemente XIV ...</t>
  </si>
  <si>
    <t>84.8</t>
  </si>
  <si>
    <t>An experimental inquiry into the laws of the vtal functions</t>
  </si>
  <si>
    <t>Philip, Wilson</t>
  </si>
  <si>
    <t>The laws in the title are laws of vital functions; this is physiology/medicine, not jurisprudence.</t>
  </si>
  <si>
    <t>An experimental inquiry into the laws of the vital functions :</t>
  </si>
  <si>
    <t>Physiology / medicine</t>
  </si>
  <si>
    <t>Gramatica francesa para uso de la nación española</t>
  </si>
  <si>
    <t>Rueda y Leon, Mathias de</t>
  </si>
  <si>
    <t>Gramática francesa A1: 50 lecciones gratis de francés para ...</t>
  </si>
  <si>
    <t>33.2</t>
  </si>
  <si>
    <t>Gramática francesa - Parlons FLE</t>
  </si>
  <si>
    <t>30.2</t>
  </si>
  <si>
    <t>Gramática francesa: todas las reglas explicadas para ...Gramática francesa: artículos le, la, les, un, une, des con ...Cómo se usan los artículos definidos en francés [Guía básica]Lecciones de gramática francesa de A1 a C1 | Practice FrenchFrench Articles Made Easy: When to Use Le, La, Les, Un, Une ...Gramática francesa: ejercicios gratuitos para practicarArtículos en francés: le, la, les, un, une | Linguas Francés</t>
  </si>
  <si>
    <t>28.3</t>
  </si>
  <si>
    <t>Arte de hablar bien frances : Gramatica completa</t>
  </si>
  <si>
    <t>Chantreau, Pedro Nicolas</t>
  </si>
  <si>
    <t>A French grammar belongs to linguistics.</t>
  </si>
  <si>
    <t>Arte de Hablar Bien Frances, Ó Gramática Completa Dividida en Tres Partes...</t>
  </si>
  <si>
    <t>Fabulae aesopicae graecae</t>
  </si>
  <si>
    <t>Planudi, Maximo</t>
  </si>
  <si>
    <t>Fabulae Aesopicae Graecae</t>
  </si>
  <si>
    <t>A compendium of medical practice</t>
  </si>
  <si>
    <t>Bedingfield, James</t>
  </si>
  <si>
    <t>Le jardin des racines greques : Mises en vers francois</t>
  </si>
  <si>
    <t>Le jardin des racines greques, mises en vers françois. ...</t>
  </si>
  <si>
    <t>Cartilla elemental de agricultura</t>
  </si>
  <si>
    <t>Sandalio de Arias, D. Antonio</t>
  </si>
  <si>
    <t>Pindar : The Nemean and isthmian odes</t>
  </si>
  <si>
    <t>Pindar : The Nemean and Isthmian odes with notes</t>
  </si>
  <si>
    <t>Nuevo curso completo de geografía universal</t>
  </si>
  <si>
    <t>Universal geography.</t>
  </si>
  <si>
    <t>Compendio de geografía universal, 1: redactado bajo un nuevo ...Curso Completo de Geografia Universal An | PDF - ScribdBiblioteca Digital de Madrid &gt; Compendio de Geografía ...Libro COMPENDIO DE GEOGRAFIA UNIVERSAL REDACTADA BAJO UN ...</t>
  </si>
  <si>
    <t>84.2</t>
  </si>
  <si>
    <t>NUEVO CURSO COMPLETO DE GEOGRAFIA UNIVERSAL - FISICA ... - ZVAB</t>
  </si>
  <si>
    <t>61.0</t>
  </si>
  <si>
    <t>Curso Completo de Geografia Universal An | PDF - Scribd</t>
  </si>
  <si>
    <t>46.4</t>
  </si>
  <si>
    <t>Entretenimientos de Phocion : Sobre la semejanza y conformidad de la moral con la política</t>
  </si>
  <si>
    <t>The title explicitly concerns conformity of morals and politics.</t>
  </si>
  <si>
    <t>Entretenimientos de Phocion Sobre la Semejanza y Conformidad de la Moral con la Política</t>
  </si>
  <si>
    <t>Moral / political philosophy</t>
  </si>
  <si>
    <t>El ingenioso hidalgo : Don Quijote de la Mancha</t>
  </si>
  <si>
    <t>Cervantes Saavedra, Miguel de</t>
  </si>
  <si>
    <t>Don Quijote is prose fiction.</t>
  </si>
  <si>
    <t>El ingenioso hidalgo Don Quijote de la Mancha</t>
  </si>
  <si>
    <t>Contes de Noël</t>
  </si>
  <si>
    <t>Latina lingua : Oratio</t>
  </si>
  <si>
    <t>Facciolati, Jacobi</t>
  </si>
  <si>
    <t>Latin-language oration; rhetoric/language.</t>
  </si>
  <si>
    <t>Oratio Latina lingua non est ex grammaticorum libris ...Notice bibliographique Jacobi Facciolati Oratio : "latina ...Jacobi Facciolati Orationes et alia ad dicendi artem ...Catalog Record: De optimis studiis orationes X. Jacobi ...Catalog Record: Jacobi Facciolati Orationes XX et alia ad ...Facciolati, Jacopo, 1682-1769 | The Online Books Page</t>
  </si>
  <si>
    <t>89.2</t>
  </si>
  <si>
    <t>Notice bibliographique Jacobi Facciolati Oratio : "latina ...</t>
  </si>
  <si>
    <t>77.0</t>
  </si>
  <si>
    <t>De optimis studiis orationes 10. Jacobi Facciolati S. theol ...</t>
  </si>
  <si>
    <t>65.0</t>
  </si>
  <si>
    <t>Oeuvres completes</t>
  </si>
  <si>
    <t>Bernard, m.</t>
  </si>
  <si>
    <t>Generic 'complete works'; literary placement is provisional.</t>
  </si>
  <si>
    <t>Oeuvres complètes</t>
  </si>
  <si>
    <t>M. Bernard</t>
  </si>
  <si>
    <t>The complete plays of Bernard Shaw</t>
  </si>
  <si>
    <t>Paul Hamlyn</t>
  </si>
  <si>
    <t>Oeuvres Poetiques</t>
  </si>
  <si>
    <t>Yvonne Bellenger</t>
  </si>
  <si>
    <t>15.4</t>
  </si>
  <si>
    <t>Fabulas de Phedro</t>
  </si>
  <si>
    <t>Augusto</t>
  </si>
  <si>
    <t>Fábulas de Phedro</t>
  </si>
  <si>
    <t>El lector americano : Nuevo curso gradual de lecturas</t>
  </si>
  <si>
    <t>Nuñez, José Abelardo</t>
  </si>
  <si>
    <t>A graded reader is a language/literary instructional work.</t>
  </si>
  <si>
    <t>El lector americano: Nuevo curso gradual de lecturas compuesto para el uso ...</t>
  </si>
  <si>
    <t>Literary reader</t>
  </si>
  <si>
    <t>Teocrito : Volgarizzato</t>
  </si>
  <si>
    <t>Regolotti, Domenico</t>
  </si>
  <si>
    <t>Teocrito volgarizzato</t>
  </si>
  <si>
    <t>Discours sur 'histoire universelle</t>
  </si>
  <si>
    <t>Discours Sur l'histoire Universelle</t>
  </si>
  <si>
    <t>Traite de l'orthographe francoise</t>
  </si>
  <si>
    <t>Traité de l'orthographe françoise, en forme de dictionnaire</t>
  </si>
  <si>
    <t>The antigone of Sophocles</t>
  </si>
  <si>
    <t>Sophocles</t>
  </si>
  <si>
    <t>Sophocles' Antigone is drama.</t>
  </si>
  <si>
    <t>The Antigone of Sophocles</t>
  </si>
  <si>
    <t>Drama</t>
  </si>
  <si>
    <t>Grammatica della lingua spagnuola</t>
  </si>
  <si>
    <t>Blanc, S. G.</t>
  </si>
  <si>
    <t>Spanish grammar.</t>
  </si>
  <si>
    <t>Nuovo Franciosini, o sia, grammatica della Lingua Spagnuola ...</t>
  </si>
  <si>
    <t>93.9</t>
  </si>
  <si>
    <t>Elementi di grammatica storica della lingua spagnuola</t>
  </si>
  <si>
    <t>Leonida Biancolini</t>
  </si>
  <si>
    <t>55.8</t>
  </si>
  <si>
    <t>Grammatica della lingua spagnuola : Filippo Manetta : Free ...</t>
  </si>
  <si>
    <t>55.6</t>
  </si>
  <si>
    <t>Oeuvres d'Horace</t>
  </si>
  <si>
    <t>Oeuvres d'Horace : en Latin</t>
  </si>
  <si>
    <t>The idea of a university</t>
  </si>
  <si>
    <t>The Idea of a University is educational/philosophical discourse rather than imaginative literature.</t>
  </si>
  <si>
    <t>Philosophy / education</t>
  </si>
  <si>
    <t>Les morticoles</t>
  </si>
  <si>
    <t>Daudet, Léon A.</t>
  </si>
  <si>
    <t>Les Morticoles is literary/satirical fiction.</t>
  </si>
  <si>
    <t>Les morticoles ...</t>
  </si>
  <si>
    <t>Prose fiction / satire</t>
  </si>
  <si>
    <t>Historia del famoso predicador Fray Gerundio de Campazas</t>
  </si>
  <si>
    <t>Padre Isla</t>
  </si>
  <si>
    <t>Historia del famoso predicador Fray Gerundio de Campazas, aliàs Zotes</t>
  </si>
  <si>
    <t>L'embaumement</t>
  </si>
  <si>
    <t>Sucquet, J. P.</t>
  </si>
  <si>
    <t>De l'embaumement chez les anciens et chez les modernes et des conservations pour l'étude de l'anatomie</t>
  </si>
  <si>
    <t>Clave geographica para aprender geographia : Los que no tienen maestro</t>
  </si>
  <si>
    <t>Florez, Fr. Henrique</t>
  </si>
  <si>
    <t>Clave geographica para aprender geographia los que no tienen maestro</t>
  </si>
  <si>
    <t>Curso de temas franceses : Gramática práctica</t>
  </si>
  <si>
    <t>Berbreugger, Adrien</t>
  </si>
  <si>
    <t>A grammar belongs to language studies.</t>
  </si>
  <si>
    <t>Curso de temas franceses, ó ,Gramática práctica</t>
  </si>
  <si>
    <t>The entire works of Dr. Thomas Sydenham</t>
  </si>
  <si>
    <t>Swan, John</t>
  </si>
  <si>
    <t>Sydenham's medical works belong to medicine.</t>
  </si>
  <si>
    <t>La verdadera alegría</t>
  </si>
  <si>
    <t>Caraccioli no es poeta ni orador: es exactamente el tipo de moralista dieciochesco, cuyas obras Brunet sitúa sistemáticamente en Philosophie morale dentro de Sciences et Arts,</t>
  </si>
  <si>
    <t>Title is too generic; provisional devotional placement.</t>
  </si>
  <si>
    <t>La verdadera alegría nace de la fe | Reflexión del Evangelio ...Camino Católico: «La verdadera alegría está en darse a los ...LA ALEGRIA. by CARACCIOLO, MARQUÉS DE: (1790) - AbeBooksLa alegría by CARACCIOLO, Marqués: Rústica (1782) 2ª imp ...LA ALEGRIA. de CARACCIOLO, MARQUÉS DE: (1790) | Marta Micaela ...La voluntad de recibir en la Cabalá: ¿Por qué no encontramos ...</t>
  </si>
  <si>
    <t>73.4</t>
  </si>
  <si>
    <t>LA ALEGRIA. de CARACCIOLO, MARQUÉS DE: (1790) | Marta Micaela ...</t>
  </si>
  <si>
    <t>61.6</t>
  </si>
  <si>
    <t>Thaler v. Caracciolo</t>
  </si>
  <si>
    <t>46.8</t>
  </si>
  <si>
    <t>Descripcion de la fabrica del cuerpo humano, y de las partes principales que le componen</t>
  </si>
  <si>
    <t>Granada, Fray Luis de</t>
  </si>
  <si>
    <t>Description of the human body/anatomy.</t>
  </si>
  <si>
    <t>Catalog Record: Descripcion de la fabrica del cuerpo humano ...</t>
  </si>
  <si>
    <t>97.9</t>
  </si>
  <si>
    <t>Descripcion de la fabrica del cuerpo humano ; y de las partes ...Alhambra - Wikipedia, la enciclopedia libreSitio oficial | Patronato de la Alhambra y GeneralifeLa Alhambra, historia, arte, decoración, lugares y rincones.La fábrica del hombre: Historias de viajes y usos de los ...De humani corporis fabrica - Vesalius Pharma</t>
  </si>
  <si>
    <t>92.7</t>
  </si>
  <si>
    <t>Partes y Funcionamiento de Granadas | PDF | Armas de fuego ...Granada de fragmentación - Wikipedia, la enciclopedia libreGranada de mano - Wikipedia, la enciclopedia libreDescripcion De La Fabrica Del Cuerpo Humano ... - Amazon</t>
  </si>
  <si>
    <t>75.5</t>
  </si>
  <si>
    <t>Traité : Théorique et pratique de la méthode anesthésique appliquée a la chirurgie</t>
  </si>
  <si>
    <t>Bouisson, E. F.</t>
  </si>
  <si>
    <t>The work concerns anesthesia applied to surgery.</t>
  </si>
  <si>
    <t>Traité théorique et pratique de la méthode anesthésique appliquée a la chirurgie et aux différentes branches de l'art de guérir</t>
  </si>
  <si>
    <t>Surgery / medicine</t>
  </si>
  <si>
    <t>Instituciones de albeyteria, y exámen de practicantes de ella</t>
  </si>
  <si>
    <t>García Caber, D. Francisco</t>
  </si>
  <si>
    <t>Albeytería is veterinary medicine, explicitly included under Brunet medical sciences.</t>
  </si>
  <si>
    <t>Instituciones de albeyteria y exámen de practicantes de ella</t>
  </si>
  <si>
    <t>Veterinary medicine</t>
  </si>
  <si>
    <t>Discurso sobre la conexión de la medicina con las ciencias físicas y morales</t>
  </si>
  <si>
    <t>Alibert, J. L.</t>
  </si>
  <si>
    <t>Discurso sobre la conexion de la medicina con las ciencias físicas y morales, ó Sobre los deberes, calidades y conocimientos del médico</t>
  </si>
  <si>
    <t>Elementa philosophiae rationalis : Seu logicae</t>
  </si>
  <si>
    <t>Heineccii</t>
  </si>
  <si>
    <t>Rational philosophy / logic.</t>
  </si>
  <si>
    <t>Elementa philosophiae rationalis seu logicae / [por] Jo. Gotti Heineccii.</t>
  </si>
  <si>
    <t>91.5</t>
  </si>
  <si>
    <t>Io. Gottl. Heineccii ... Elementa philosophiae rationalis et ...</t>
  </si>
  <si>
    <t>80.6</t>
  </si>
  <si>
    <t>JO. Gottlieb Heineccii Elementa philosophiae rationalis, et ...(1794) Jo. Gottlieb Heineccii Elementa Philosophiæ Rationalis ...Jo. Gottl. Heineccii Elementa philosophiae rationalis et moralisElementa philosophiae rationalis et moralis by Johann ...</t>
  </si>
  <si>
    <t>74.8</t>
  </si>
  <si>
    <t>Catecismo de historia del bajo imperio</t>
  </si>
  <si>
    <t>Catechism of the history of the Later Roman Empire.</t>
  </si>
  <si>
    <t>Catecismo de historia del bajo imperio - Edad Antigua ...</t>
  </si>
  <si>
    <t>77.8</t>
  </si>
  <si>
    <t>CATECISMO de la historia del Bajo Imperio. - antoniomateos.com</t>
  </si>
  <si>
    <t>75.8</t>
  </si>
  <si>
    <t>Catecismo de historia argentin : Estrada, Santiago, 1835 ...</t>
  </si>
  <si>
    <t>57.0</t>
  </si>
  <si>
    <t>The soul of the far east</t>
  </si>
  <si>
    <t>Lowell, Percival</t>
  </si>
  <si>
    <t>The Soul of the Far East describes East Asian society/culture and is treated as geographical-historical travel literature.</t>
  </si>
  <si>
    <t>The soul of the Far East</t>
  </si>
  <si>
    <t>Travel / ethnographic description</t>
  </si>
  <si>
    <t>Gramatica inglesa</t>
  </si>
  <si>
    <t>Urcullu, D. José de</t>
  </si>
  <si>
    <t>Le nouveau guide de la conversation</t>
  </si>
  <si>
    <t>Hamonière, G.</t>
  </si>
  <si>
    <t>A bilingual conversation guide belongs to language studies.</t>
  </si>
  <si>
    <t>Le nouveau guide de la conversation, en espagnol et en français ...</t>
  </si>
  <si>
    <t>Linguistics / conversation manual</t>
  </si>
  <si>
    <t>Nouvelle Methode : Pour apprendre les principies de la langue greque - vulgaire</t>
  </si>
  <si>
    <t>Thoma, P. F.</t>
  </si>
  <si>
    <t>Greek-language learning method.</t>
  </si>
  <si>
    <t>Nouvelle methode pour apprendre les principes de la langue ...</t>
  </si>
  <si>
    <t>97.3</t>
  </si>
  <si>
    <t>Nouvelle methode pour apprendre ... la langue grèque - Thomas ...</t>
  </si>
  <si>
    <t>47.0</t>
  </si>
  <si>
    <t>Anemi - Digital Library of Modern Greek Studies - Nouvelle Methode pour ...</t>
  </si>
  <si>
    <t>La lógica : Los primeros elementos del arte de pensar</t>
  </si>
  <si>
    <t>Caudillac y Quimassais</t>
  </si>
  <si>
    <t>The title explicitly concerns logic and the art of thinking.</t>
  </si>
  <si>
    <t>La logica o los primeros elementos del arte de pensar</t>
  </si>
  <si>
    <t>Sermón de San Felipe de Jesús; predicado el día 5 de febrero del año de 1781, en que se estrenó el nuevo oficio y misa concedidos al glorioso santo por la Silla Apostólica</t>
  </si>
  <si>
    <t>Martínez de Adame, Joseph</t>
  </si>
  <si>
    <t>Sermon on Saint Philip of Jesus.</t>
  </si>
  <si>
    <t>Sermon De San Felipe De Jesus Predicado El Dia 5 De Febrero Del Ano De ...</t>
  </si>
  <si>
    <t>Sermon que en la festividad del glorioso martyr mexicano San ...Sermon de San Felipe de Jesus, 1781 - LiveAuctioneersMartÃnez de Adame, Joseph / ValdÃ©s, Francisco. Sermones de ...Pinacoteca de La Profesa | Sermón de San Felipe de Jesús ...Descripción: Sermón de San Felipe de Jesús, al señor doctor ...Sermon Evangelístico de Bullón El Felipe y El Eunuco Hechos 8</t>
  </si>
  <si>
    <t>Pinacoteca de La Profesa | Sermón de San Felipe de Jesús ...</t>
  </si>
  <si>
    <t>Gramática de la lengua castellana : Según ahora se habla</t>
  </si>
  <si>
    <t>Gramática de la lengua castellana segun ahora se habla</t>
  </si>
  <si>
    <t>Vicente Salvá y Pérez</t>
  </si>
  <si>
    <t>86.0</t>
  </si>
  <si>
    <t>Gramática de la Lengua Castellana [Transcripción]</t>
  </si>
  <si>
    <t>56.4</t>
  </si>
  <si>
    <t>Las gramáticas de la lengua castellana desde Nebrija a Correas</t>
  </si>
  <si>
    <t>Antonio Ramajo Caño</t>
  </si>
  <si>
    <t>53.8</t>
  </si>
  <si>
    <t>Analecta graeca minora</t>
  </si>
  <si>
    <t>Greek anthology/philological title.</t>
  </si>
  <si>
    <t>Analecta Graeca Minora</t>
  </si>
  <si>
    <t>64.0</t>
  </si>
  <si>
    <t>Analecta græca minora</t>
  </si>
  <si>
    <t>Andrew Dalzel</t>
  </si>
  <si>
    <t>50.5</t>
  </si>
  <si>
    <t>Analecta ecclesiastica</t>
  </si>
  <si>
    <t>30.7</t>
  </si>
  <si>
    <t>Compendio de la rhetorica : En que se da un facil, y utilisimo methodo de enfeñar el arte oratoria</t>
  </si>
  <si>
    <t>Cesena, Fr. Juan Angel de</t>
  </si>
  <si>
    <t>A rhetoric manual belongs to Brunet's rhetoric/oratory subdivision.</t>
  </si>
  <si>
    <t>Compendio de la rhetorica, en el qual se da un nuevo, facil, y utilissimo methodo de enseñar el arte oratoria</t>
  </si>
  <si>
    <t>Aritmetica : Practica y especulativa del bachiller Juan Pérez de Moya</t>
  </si>
  <si>
    <t>Pérez de Moya, Juan</t>
  </si>
  <si>
    <t>Arithmetic.</t>
  </si>
  <si>
    <t>Aritmética, práctica, y especulativa del bachillér Juan Perez ...</t>
  </si>
  <si>
    <t>Aritmetica practica y especulativa - Juan Pérez de Moya ...</t>
  </si>
  <si>
    <t>89.8</t>
  </si>
  <si>
    <t>Arithmetica practica y speculatiua del bachiller Iuan Perez ...</t>
  </si>
  <si>
    <t>86.3</t>
  </si>
  <si>
    <t>Los diez y seis libros de las epistolas, o cartas</t>
  </si>
  <si>
    <t>Ciceron, Marco Tulio</t>
  </si>
  <si>
    <t>Cicero's epistles.</t>
  </si>
  <si>
    <t>Catalog Record: Los diez y seis libros de las epistolas o ...</t>
  </si>
  <si>
    <t>98.9</t>
  </si>
  <si>
    <t>LOS DIEZ Y SEIS LIBROS DE LAS EPISTOLAS, O CARTAS DE MARCO ...</t>
  </si>
  <si>
    <t>Biblioteca Digital de la Comunidad de Madrid &gt; Los diez y ...</t>
  </si>
  <si>
    <t>81.0</t>
  </si>
  <si>
    <t>Discorsi cinque di oratio Toscanella</t>
  </si>
  <si>
    <t>Discourses/orations; rhetoric/literature.</t>
  </si>
  <si>
    <t>BeWeb - Cerca - Livres - locale:fr - view:griglia , advanced true ...</t>
  </si>
  <si>
    <t>65.3</t>
  </si>
  <si>
    <t>Orazio 16.sec Toscanella ਦੀ La retorica di M. Tullio Cicerone a Gaio ...</t>
  </si>
  <si>
    <t>63.2</t>
  </si>
  <si>
    <t>SBN UBO - Catalogo online del Polo Bolognese | Discorsi cinque di ...</t>
  </si>
  <si>
    <t>Compendium latino - hispanum</t>
  </si>
  <si>
    <t>Salas, Petri de</t>
  </si>
  <si>
    <t>Compendium latino-hispanum</t>
  </si>
  <si>
    <t>Raccolta di stanze : De' migliori italiani poeti</t>
  </si>
  <si>
    <t>Italian poetic stanzas.</t>
  </si>
  <si>
    <t>Raccolta di stanze de migliori italiani poeti (1769) | НЭБ ...</t>
  </si>
  <si>
    <t>80.5</t>
  </si>
  <si>
    <t>raccolta di stanze - Traduzione in inglese - esempi italiano ...</t>
  </si>
  <si>
    <t>48.3</t>
  </si>
  <si>
    <t>I 15 migliori hotel italiani secondo Condé Nast Traveller</t>
  </si>
  <si>
    <t>46.0</t>
  </si>
  <si>
    <t>Aristaeneti : Epistolae</t>
  </si>
  <si>
    <t>Aristaeneti</t>
  </si>
  <si>
    <t>Aristaeneti Epistolae</t>
  </si>
  <si>
    <t>Cato a tragedy = Catone tragedia</t>
  </si>
  <si>
    <t>Addison</t>
  </si>
  <si>
    <t>Addison's Cato is a tragedy.</t>
  </si>
  <si>
    <t>Cato</t>
  </si>
  <si>
    <t>Ludovici vivis : Dialogistica linguae latine</t>
  </si>
  <si>
    <t>Ioannis</t>
  </si>
  <si>
    <t>Latin dialogues / language work by Vives.</t>
  </si>
  <si>
    <t>Ioannis Ludovici Vivis Dialogistica linguae latinae...</t>
  </si>
  <si>
    <t>87.4</t>
  </si>
  <si>
    <t>Ioannis Ludovici Vivis : tuburuk : Free Download, Borrow, and ...</t>
  </si>
  <si>
    <t>85.2</t>
  </si>
  <si>
    <t>Ioannis Ludovici Vivis, valentini Dialogisti Linguae Latinae ...</t>
  </si>
  <si>
    <t>77.9</t>
  </si>
  <si>
    <t>Novelle morali</t>
  </si>
  <si>
    <t>Soave, Francesco</t>
  </si>
  <si>
    <t>Novelle/moral tales are narrative prose.</t>
  </si>
  <si>
    <t>Tales / prose fiction</t>
  </si>
  <si>
    <t>Opera</t>
  </si>
  <si>
    <t>P. Virgilii Maronis Opera</t>
  </si>
  <si>
    <t>Fior di vitud = ANQOS CARTWN</t>
  </si>
  <si>
    <t>No determinable</t>
  </si>
  <si>
    <t>Appears to be a florilegium/virtue anthology; provisional literary classification.</t>
  </si>
  <si>
    <t>Fior di Vite Cantine Bertoldi Italy Wine Verona Wine</t>
  </si>
  <si>
    <t>38.6</t>
  </si>
  <si>
    <t>Fior Di Vite - Tinbeer Srl</t>
  </si>
  <si>
    <t>37.1</t>
  </si>
  <si>
    <t>Fior di Vite , F.lli Ramazzotti S.A. | Grappa.com</t>
  </si>
  <si>
    <t>36.0</t>
  </si>
  <si>
    <t>Compendiaria graecae grammatices institutio</t>
  </si>
  <si>
    <t>Greek grammar belongs to language studies.</t>
  </si>
  <si>
    <t>Trattato della situaziones del paradiso terrestre : Opera</t>
  </si>
  <si>
    <t>Duezio, Pietro Daniello</t>
  </si>
  <si>
    <t>Treatise on the terrestrial paradise; theological/biblical subject.</t>
  </si>
  <si>
    <t>Trattato della situazione del paradiso terrestre ai signori ...</t>
  </si>
  <si>
    <t>57.9</t>
  </si>
  <si>
    <t>HUET. (Pierre Daniel) TRATTATO DELLA SITUAZIONE DEL PARADISO ...</t>
  </si>
  <si>
    <t>45.3</t>
  </si>
  <si>
    <t>BinP - Biblioteche in Polo | Trattato della situazione del ...</t>
  </si>
  <si>
    <t>40.4</t>
  </si>
  <si>
    <t>Arte de traducir el idioma francés al castellano</t>
  </si>
  <si>
    <t>Capmanr, Antonio de</t>
  </si>
  <si>
    <t>A work on translation/language belongs to philology/language studies.</t>
  </si>
  <si>
    <t>Arte de traducir el idioma francés al Castellano</t>
  </si>
  <si>
    <t>Linguistics / translation</t>
  </si>
  <si>
    <t>Oeuvres de Monseigneur L'Évêque de Poitiers</t>
  </si>
  <si>
    <t>Poitiers, L'Évêque de</t>
  </si>
  <si>
    <t>Collected works of a bishop of Poitiers are principally theological/ecclesiastical.</t>
  </si>
  <si>
    <t>Oeuvres de Monseigneur l'évèque de Poitiers</t>
  </si>
  <si>
    <t>Ecclesiastical / theological works</t>
  </si>
  <si>
    <t>Catullo e lesbia : Studi</t>
  </si>
  <si>
    <t>Rapisardi, Mario</t>
  </si>
  <si>
    <t>A study of Catullus and Lesbia is literary history/criticism rather than a primary literary work.</t>
  </si>
  <si>
    <t>Catullo e Lesbia: studi</t>
  </si>
  <si>
    <t>Literary history / studies</t>
  </si>
  <si>
    <t>The prometheus</t>
  </si>
  <si>
    <t>Aeschylus</t>
  </si>
  <si>
    <t>Aeschylus' Prometheus is drama.</t>
  </si>
  <si>
    <t>Prometheus Bound</t>
  </si>
  <si>
    <t>Elementos de la gramática inglesa</t>
  </si>
  <si>
    <t>Walker, Alexandro</t>
  </si>
  <si>
    <t>English grammar.</t>
  </si>
  <si>
    <t>Elementos para El Diseño de Paisaje - Alejandro Cabeza PérezAlexandro R Walker - FacebookAlfabeto visual - los elementos de la imagen - Pintura y ArtistasDESCRIPCION DE LA PRUEBA DE WALKER MODIFICADA - 1Library.Co</t>
  </si>
  <si>
    <t>52.0</t>
  </si>
  <si>
    <t>Alexandro R Walker - Facebook</t>
  </si>
  <si>
    <t>38.7</t>
  </si>
  <si>
    <t>Elementos Clave de la Gramática Inglesa | PDF - Scribd</t>
  </si>
  <si>
    <t>34.6</t>
  </si>
  <si>
    <t>Memorie storiche del ministerio de'due viaggi in Francia</t>
  </si>
  <si>
    <t>Pacca, Bartolomeo</t>
  </si>
  <si>
    <t>Historical memoirs of ministry and journeys in France.</t>
  </si>
  <si>
    <t>Memorie storiche del ministero de' due viaggi in Francia e ...</t>
  </si>
  <si>
    <t>Catalog Record: Historical memoirs of Cardinal Pacca, prime ...</t>
  </si>
  <si>
    <t>83.7</t>
  </si>
  <si>
    <t>Historical memoirs of Cardinal Pacca, prime minister to Pius ...</t>
  </si>
  <si>
    <t>Happy hours of childhood</t>
  </si>
  <si>
    <t>Happy Hours of Childhood</t>
  </si>
  <si>
    <t>Principios de moral</t>
  </si>
  <si>
    <t>Mably, Abate</t>
  </si>
  <si>
    <t>Moral philosophy.</t>
  </si>
  <si>
    <t>Cultura | El protosocialismo del Abate Mably</t>
  </si>
  <si>
    <t>73.3</t>
  </si>
  <si>
    <t>Amazon.fr - Principios de moral, por el abate Mably ...</t>
  </si>
  <si>
    <t>62.5</t>
  </si>
  <si>
    <t>MABLY, Gabriel Bonnot el abate de, - Geocities Archive</t>
  </si>
  <si>
    <t>41.4</t>
  </si>
  <si>
    <t>[Gramática latina]</t>
  </si>
  <si>
    <t>Yriartte, D. Juan</t>
  </si>
  <si>
    <t>Latin grammar.</t>
  </si>
  <si>
    <t>Gramática Latina</t>
  </si>
  <si>
    <t>Juan De Iriarte</t>
  </si>
  <si>
    <t>Henrichs Kleinen, Ellen Gramatica Limbii Engleze Scan</t>
  </si>
  <si>
    <t>9.5</t>
  </si>
  <si>
    <t>Grammatica della lingua latina di E. Lefranc</t>
  </si>
  <si>
    <t>Émile Lefranc</t>
  </si>
  <si>
    <t>8.3</t>
  </si>
  <si>
    <t>Latin authors explained; literary/philological.</t>
  </si>
  <si>
    <t>Les Auteurs Latins Expliqués d'Après Une Méthode Nouvelle Par ...</t>
  </si>
  <si>
    <t>Les Auteurs latins expliqués d'après une... de Virgile ...</t>
  </si>
  <si>
    <t>88.2</t>
  </si>
  <si>
    <t>Les Auteurs latins expliqués par deux traductions françaises ...</t>
  </si>
  <si>
    <t>65.8</t>
  </si>
  <si>
    <t>Clave historial : Con que se abre la puerta  la historia eclesiastica y política</t>
  </si>
  <si>
    <t>The title explicitly presents an ecclesiastical/political history.</t>
  </si>
  <si>
    <t>Clave historial, con que se abre la puerta a la historia eclesiastica y politica, chronologia de ...</t>
  </si>
  <si>
    <t>Ecclesiastical / political history</t>
  </si>
  <si>
    <t>La comparaison de thucydide et de tite live</t>
  </si>
  <si>
    <t>Comparison of Thucydides and Livy; historiography/history.</t>
  </si>
  <si>
    <t>La comparaison de Thucydide et de Tite Live. Avec un jugement des ...</t>
  </si>
  <si>
    <t>René Rapin, Comparaison de Thucydide et de Tite-Live</t>
  </si>
  <si>
    <t>76.6</t>
  </si>
  <si>
    <t>Thucydide et Rollin : émergence du paradigme athénien au</t>
  </si>
  <si>
    <t>60.5</t>
  </si>
  <si>
    <t>The medea</t>
  </si>
  <si>
    <t>Euripides</t>
  </si>
  <si>
    <t>The Medea of Euripides;</t>
  </si>
  <si>
    <t>Tragedie di Euripppide</t>
  </si>
  <si>
    <t xml:space="preserve">
https://archive.org/details/bub_gb_bxdndR3x6QIC</t>
  </si>
  <si>
    <t>Tragedie d'Euripide</t>
  </si>
  <si>
    <t>Prose di Silvio Pellico</t>
  </si>
  <si>
    <t>Pellico, Silvio</t>
  </si>
  <si>
    <t>Lucrezia Borgia</t>
  </si>
  <si>
    <t>Gregorovius, F.</t>
  </si>
  <si>
    <t>Lucrezia Borgia by Gregorovius; biographical/historical work.</t>
  </si>
  <si>
    <t>Ferdinand Gregorovius</t>
  </si>
  <si>
    <t>The Borgia bride</t>
  </si>
  <si>
    <t>Kalogridis, Jeanne</t>
  </si>
  <si>
    <t>10.3</t>
  </si>
  <si>
    <t>Lucrezia Uvette Porter</t>
  </si>
  <si>
    <t>9.4</t>
  </si>
  <si>
    <t>Odissea</t>
  </si>
  <si>
    <t>Homer's Odyssey is poetry.</t>
  </si>
  <si>
    <t>Epic poetry</t>
  </si>
  <si>
    <t>De arte rethorica, et poetica</t>
  </si>
  <si>
    <t>Rhetoric and poetics.</t>
  </si>
  <si>
    <t>De arte, rhetorica et poetica</t>
  </si>
  <si>
    <t>Aristotelis De rethorica, et poetica libri cum Auerrois</t>
  </si>
  <si>
    <t>Arte retórica e arte poética - Aristóteles - Google Books</t>
  </si>
  <si>
    <t>44.9</t>
  </si>
  <si>
    <t>Pocket - dictionary of the english and german languajes</t>
  </si>
  <si>
    <t>Thieme's, F. W.</t>
  </si>
  <si>
    <t>English-German dictionary.</t>
  </si>
  <si>
    <t>English-german And German-english Pocket-dictionary</t>
  </si>
  <si>
    <t>87.1</t>
  </si>
  <si>
    <t>Thieme F.W. Thiemes pocket dictionary of the English and ...</t>
  </si>
  <si>
    <t>57.3</t>
  </si>
  <si>
    <t>Thieme's Bible Doctrine Dictionary | R. B. Thieme, Jr., Bible ...</t>
  </si>
  <si>
    <t>57.1</t>
  </si>
  <si>
    <t>Urania victrix</t>
  </si>
  <si>
    <t>Balde, Iacobi</t>
  </si>
  <si>
    <t>Manuel des étudians</t>
  </si>
  <si>
    <t>Dupin, M.</t>
  </si>
  <si>
    <t>Manuel des étudians en droit</t>
  </si>
  <si>
    <t>Grammaire francaise</t>
  </si>
  <si>
    <t>Le Tellier, Charles - Constant</t>
  </si>
  <si>
    <t>Grammaire française à l'usage des pensionnats</t>
  </si>
  <si>
    <t>The youthful martyrs of Rome : A christian drama</t>
  </si>
  <si>
    <t>Christian drama; literary form controls classification.</t>
  </si>
  <si>
    <t>The youthful martyrs of Rome: A Christian drama ... - Amazon</t>
  </si>
  <si>
    <t>First Martyrs of the Church of Rome - Wikipedia</t>
  </si>
  <si>
    <t>49.8</t>
  </si>
  <si>
    <t>The growth of the christian church</t>
  </si>
  <si>
    <t>Robert hastings Nichols</t>
  </si>
  <si>
    <t>49.4</t>
  </si>
  <si>
    <t>El universo pintoresco, ó historia y descripción de todos los pueblos : Malta y el Gozo</t>
  </si>
  <si>
    <t>Lacroix, Federico</t>
  </si>
  <si>
    <t>El universo pintoresco, ó, Historia y descripción de todos los pueblos, de sus religiones, costumbres, usos, industria, etc.</t>
  </si>
  <si>
    <t>Colloqui di Lodovico Vives</t>
  </si>
  <si>
    <t>Dialogues of Ludovico Vives.</t>
  </si>
  <si>
    <t>Colloquj di Gio. Lodovico Vives latini e italiani : tradotti ...</t>
  </si>
  <si>
    <t>42.4</t>
  </si>
  <si>
    <t>Colloqui di Gio. Lodovico Vives, Venezia 1737 presso Gio ...</t>
  </si>
  <si>
    <t>31.0</t>
  </si>
  <si>
    <t>COLLOQUI DI GIO. LODOVICO VIVES LATINI E VOLGARI Venezia ...</t>
  </si>
  <si>
    <t>Notions élémentaires d'histoire naturelle : Zoologie</t>
  </si>
  <si>
    <t>Notions élémentaires d'Histoire naturelle. Zoologie</t>
  </si>
  <si>
    <t>Aeliani variae historiae libri</t>
  </si>
  <si>
    <t>Aeliani Variae historiae libri XIIII</t>
  </si>
  <si>
    <t>Las flores de mayo : Estudio filosófico - teológico sobre el culto de la santísima Virgen María</t>
  </si>
  <si>
    <t>Philosophical-theological study of Marian devotion.</t>
  </si>
  <si>
    <t>Las flores de la vida y la Reina de las flores estudio...</t>
  </si>
  <si>
    <t>Las flores de mayo: flores de la vida, reina de las flores ...</t>
  </si>
  <si>
    <t>82.7</t>
  </si>
  <si>
    <t>Libro las flores de la vida y la reina de las flores. lirio de los ...</t>
  </si>
  <si>
    <t>82.0</t>
  </si>
  <si>
    <t>The mythology of ancient Greece and Italy</t>
  </si>
  <si>
    <t>keightley, Thomas</t>
  </si>
  <si>
    <t>The mythology of ancient Greece and Italy.</t>
  </si>
  <si>
    <t>L'arte in Italia</t>
  </si>
  <si>
    <t>Sigalas, Drouilhet de</t>
  </si>
  <si>
    <t>L'arte in Italia concerns art; Brunet places fine arts under Sciences and arts.</t>
  </si>
  <si>
    <t>Fine arts</t>
  </si>
  <si>
    <t>Es un manual de cronología histórica (listas de gobernantes y fechas), no una narración histórica propiamente dicha, por lo que cae en el apartado específico de Chronologie dentro de Histoire</t>
  </si>
  <si>
    <t>Traducción del frances sin maestro : O el incrédulo</t>
  </si>
  <si>
    <t>Sotos, D. Bonifacio</t>
  </si>
  <si>
    <t>Language-learning/translation title with literary subtitle.</t>
  </si>
  <si>
    <t>Traducción del francés sin maestro o El incrédulo...</t>
  </si>
  <si>
    <t>Bonifacio Sotos Ochando - Traducción Del Francés ... - Scribd</t>
  </si>
  <si>
    <t>traduccion franes maestro incredulo conducido de sotos ...</t>
  </si>
  <si>
    <t>83.4</t>
  </si>
  <si>
    <t>Illustrium . Poërum flores</t>
  </si>
  <si>
    <t>Anthology of poets.</t>
  </si>
  <si>
    <t>Illustrium poetarum flores - Google Books</t>
  </si>
  <si>
    <t>49.1</t>
  </si>
  <si>
    <t>Illustrium poetarum flores / per Octauianum Mirandulam ...</t>
  </si>
  <si>
    <t>48.5</t>
  </si>
  <si>
    <t>Illustrium poetarum flores - Open Library</t>
  </si>
  <si>
    <t>48.1</t>
  </si>
  <si>
    <t>Gramatica della lingua latina</t>
  </si>
  <si>
    <t>Porretti, Ferdinaando</t>
  </si>
  <si>
    <t>Della istoria romana = Historiae romanae</t>
  </si>
  <si>
    <t>Patercolo, Cajo Vellejo</t>
  </si>
  <si>
    <t>Roman history.</t>
  </si>
  <si>
    <t>Velleio Patercolo Istoria romana: 2 - Google BooksCaii Velleii Paterculi historiae romanae ad M. Vinicium ...Della istoria romana di Cajo Vellejo Patercolo a M. Vinicio ...Velleio Patercolo Istoria romana. Valerio Massimo, Detti e ...</t>
  </si>
  <si>
    <t>83.3</t>
  </si>
  <si>
    <t>Della istoria romana di Cajo Vellejo Patercolo a M. Vinicio ...</t>
  </si>
  <si>
    <t>71.4</t>
  </si>
  <si>
    <t>Velleio Patercolo Istoria romana 1 : Free Download, Borrow ...</t>
  </si>
  <si>
    <t>30.0</t>
  </si>
  <si>
    <t>Compendio della storia romana = Epitome rerum romanarum</t>
  </si>
  <si>
    <t>Floro, L. Anneo</t>
  </si>
  <si>
    <t>Compendium of Roman history.</t>
  </si>
  <si>
    <t>Epitome Rerum Romanarum - Lucius Annaeus Florus - Google BooksCompendio di storia romana di Lucio Anneo Floro - Lucius ...L. Annaei Flori Epitome Rerum Romanarum: Compendio Della ...Compendio di storia romana (Italian Edition): Floro, Lucio ...L Annaei Flori Epitome Rerum Romanarum : Compendio Della ...L. Annaei Flori Epitome Rerum Romanarum: Compendio Della ...</t>
  </si>
  <si>
    <t>83.1</t>
  </si>
  <si>
    <t>Compendio di storia romana di Lucio Anneo Floro - Lucius ...</t>
  </si>
  <si>
    <t>67.7</t>
  </si>
  <si>
    <t>Storia Romana Di Lucio Anneo-floro In Epitome... (Italian ...</t>
  </si>
  <si>
    <t>62.4</t>
  </si>
  <si>
    <t>Elementos de retórica</t>
  </si>
  <si>
    <t>Rhetoric.</t>
  </si>
  <si>
    <t>Partitiones Oratoriae de Cicerón | PDF | Cicerón | Retórica</t>
  </si>
  <si>
    <t>Cicerón, Marco Tulio. La Invención Retórica [G] [1997].pdf</t>
  </si>
  <si>
    <t>Marco Tulio Ciceron Retorica PDF - Scribd</t>
  </si>
  <si>
    <t>58.6</t>
  </si>
  <si>
    <t>De Praecuis graecae</t>
  </si>
  <si>
    <t>Vigero, Francisco</t>
  </si>
  <si>
    <t>Greek language/philology.</t>
  </si>
  <si>
    <t>De praecipuis Graecae dictionis idiotismis. Authore Francisco ...</t>
  </si>
  <si>
    <t>69.0</t>
  </si>
  <si>
    <t>De praecipuis Graecae dictionis idiotismis [microform ...</t>
  </si>
  <si>
    <t>Francisci Vigeri, ... De Praecipuis Graecae Dictionis ...</t>
  </si>
  <si>
    <t>13.8</t>
  </si>
  <si>
    <t>Discours historiques : Critiques &amp; politiques sur Tacite</t>
  </si>
  <si>
    <t>Historical and political discourses on Tacitus.</t>
  </si>
  <si>
    <t>Discours historiques, critiques &amp; politiques sur Tacite ...</t>
  </si>
  <si>
    <t>Test critiques. Volume VII</t>
  </si>
  <si>
    <t>17.0</t>
  </si>
  <si>
    <t>discours 27-31</t>
  </si>
  <si>
    <t>16.4</t>
  </si>
  <si>
    <t>Las metamorfósis</t>
  </si>
  <si>
    <t>Apuléo</t>
  </si>
  <si>
    <t>Las metamorfósis de Apuléo, Volume 2</t>
  </si>
  <si>
    <t>Dialogos del ilustre cavallero Pedro Mexia</t>
  </si>
  <si>
    <t>Mexia, Pedro</t>
  </si>
  <si>
    <t>Diálogos del ilustre cavallero Pero Mexia</t>
  </si>
  <si>
    <t>Le nouve sobrino : Grammaire de la langue espagnole</t>
  </si>
  <si>
    <t>Martínez, Francisco</t>
  </si>
  <si>
    <t>Le nouveau Sobrino, ou Grammaire de la langue espagnole ...</t>
  </si>
  <si>
    <t>95.9</t>
  </si>
  <si>
    <t>La litterature francaise de nouvelle-angleterre</t>
  </si>
  <si>
    <t>Soeur Mary-Carmel Therriault, s.m.</t>
  </si>
  <si>
    <t>14.3</t>
  </si>
  <si>
    <t>HOW TO ENJOY I TO 10 PERFECT DAYS IN SAN FRANCISCO</t>
  </si>
  <si>
    <t>JACK SHELTON</t>
  </si>
  <si>
    <t>10.9</t>
  </si>
  <si>
    <t>Dictionnaire universel d'histoire naturelle</t>
  </si>
  <si>
    <t>A dictionary of natural history belongs to natural sciences, not general history.</t>
  </si>
  <si>
    <t>Dictionnaire universel d'histoire naturelle ...</t>
  </si>
  <si>
    <t>Natural history</t>
  </si>
  <si>
    <t>Suplemento al diccionario de la lengua castellana</t>
  </si>
  <si>
    <t>Supplement to Spanish-language dictionary.</t>
  </si>
  <si>
    <t>Suplemento al diccionario de la lengua castellana ...</t>
  </si>
  <si>
    <t>Detalles de: Suplemento al diccionario de la lengua ...</t>
  </si>
  <si>
    <t>89.1</t>
  </si>
  <si>
    <t>Nuevo diccionario de la lengua castellana : Salvá y Pérez ...</t>
  </si>
  <si>
    <t>84.7</t>
  </si>
  <si>
    <t>L'Iliada d'Omero</t>
  </si>
  <si>
    <t>L'Iliada d'Omero trapportata dalla greca nella toscana lingua da Federico Malipiero nobile veneto. Libri ventiquattro. Aggiontoui nel fine Il ratto d'ElenaFederico Malipiero ..</t>
  </si>
  <si>
    <t>Le cas de M. Henri lasserre : Lourdes-Rome</t>
  </si>
  <si>
    <t>Moniquet, M. L'abbé Paulin</t>
  </si>
  <si>
    <t>Case/history of Henri Lasserre and Lourdes/Rome; biographical/historical form inferred.</t>
  </si>
  <si>
    <t>Le Cas de M. Henri Lasserre : Lourdes-Rome / Paulin Moniquet ...</t>
  </si>
  <si>
    <t>92.5</t>
  </si>
  <si>
    <t>Le cas de M. Henri Lasserre, Lourdes-Rome - ixtheo.de</t>
  </si>
  <si>
    <t>Paulin Moniquet — Wikipédia</t>
  </si>
  <si>
    <t>37.0</t>
  </si>
  <si>
    <t>Arte explicado y gramático perfecto</t>
  </si>
  <si>
    <t>Marquez de Medina, Marco</t>
  </si>
  <si>
    <t>Arte explicado y gramático perfecto is a grammar/language work.</t>
  </si>
  <si>
    <t>Dictionnaire portatif : De cuisine, doffice, et de distillation</t>
  </si>
  <si>
    <t>The dictionary concerns domestic economy, liqueur-making/cooking and practical arts.</t>
  </si>
  <si>
    <t>Dictionnaire portatif de cuisine, d'office, et de distillation</t>
  </si>
  <si>
    <t>Mechanical arts / cooking / distillation</t>
  </si>
  <si>
    <t>Q. Haratti flacci : Opera</t>
  </si>
  <si>
    <t>Works of Horace.</t>
  </si>
  <si>
    <t>Q. Horatii Flacci opera</t>
  </si>
  <si>
    <t>50.6</t>
  </si>
  <si>
    <t>Q. Horati Flacci opera - Horace - Google Books</t>
  </si>
  <si>
    <t>Q. Horati Flacci opera : Horace, Edward Charles Wickham ...</t>
  </si>
  <si>
    <t>41.2</t>
  </si>
  <si>
    <t>Janua grammaticae : Declinationes nominum, conjugationes verborum</t>
  </si>
  <si>
    <t>Grammar: declensions and conjugations.</t>
  </si>
  <si>
    <t>Adult January Bible Study: The Gospel of John:Invitaion to Life</t>
  </si>
  <si>
    <t>Herschel H. Hobbs</t>
  </si>
  <si>
    <t>28.1</t>
  </si>
  <si>
    <t>The Numismatic Circular : January 1966</t>
  </si>
  <si>
    <t>The Numismatic Circular</t>
  </si>
  <si>
    <t>27.2</t>
  </si>
  <si>
    <t>The Numismatic Scrapbook Magazine (January 1952)</t>
  </si>
  <si>
    <t>Hewitt Bros.</t>
  </si>
  <si>
    <t>26.3</t>
  </si>
  <si>
    <t>Noël, M.</t>
  </si>
  <si>
    <t>Grammaire française</t>
  </si>
  <si>
    <t>Los libros de Marco Tulio Ciceron : De los oficios, de la amicicia, de la senetud</t>
  </si>
  <si>
    <t>Cicero's De officiis/amicitia/senectute are philosophical-moral works.</t>
  </si>
  <si>
    <t>Los Libros de Marco Tulio Ciceron ... ...</t>
  </si>
  <si>
    <t>Moto propio della santità di nosotros signore : Papa Leone XII</t>
  </si>
  <si>
    <t>Papal motu proprio is a normative/legal ecclesiastical instrument.</t>
  </si>
  <si>
    <t>Moto proprio della santita' di nostro signore Clemente papa ...</t>
  </si>
  <si>
    <t>Moto proprio della santità di nostro signore Benedetto papa ...</t>
  </si>
  <si>
    <t>69.3</t>
  </si>
  <si>
    <t>Moto proprio della santità di nostro signore papa Pio Settimo ...</t>
  </si>
  <si>
    <t>67.5</t>
  </si>
  <si>
    <t>Dictionnaire de littérature</t>
  </si>
  <si>
    <t>Dictionnaire de littérature ...</t>
  </si>
  <si>
    <t>De le letteredim</t>
  </si>
  <si>
    <t>Tolomei, Claudio</t>
  </si>
  <si>
    <t>Title concerning letters; provisional literary classification.</t>
  </si>
  <si>
    <t>De le lettere di m. Clavdio Tolomei lib. sette : con vna ...</t>
  </si>
  <si>
    <t>57.4</t>
  </si>
  <si>
    <t>De le lettere di m. Clavdio Tolomei lib. sette by Claudio ...</t>
  </si>
  <si>
    <t>48.9</t>
  </si>
  <si>
    <t>De le Lettere di M. Claudio Tolomei lib. sette. Con una breve ...</t>
  </si>
  <si>
    <t>44.5</t>
  </si>
  <si>
    <t>El hombre de letras</t>
  </si>
  <si>
    <t>Bartoli, Daniel P.</t>
  </si>
  <si>
    <t>L'uomo di lettere / El hombre de letras is a rhetorical-literary treatise.</t>
  </si>
  <si>
    <t>El hombre de letras, escrito en italiano</t>
  </si>
  <si>
    <t>Rhetoric / literary studies</t>
  </si>
  <si>
    <t>Storia della letteratura greca</t>
  </si>
  <si>
    <t>Vita P. Virg. Maronis</t>
  </si>
  <si>
    <t>Carrado, Sebastiano</t>
  </si>
  <si>
    <t>The original title appears to indicate a Life of Virgil, but the linked candidate is Virgil's Opera; human review should resolve the edition/match.</t>
  </si>
  <si>
    <t>Lectiones Aristophaneae</t>
  </si>
  <si>
    <t>Htobii, Ludovici</t>
  </si>
  <si>
    <t>Lessons/readings on Aristophanes.</t>
  </si>
  <si>
    <t>Lectiones Aristophaneae... book by Friedrich Heinrich Bothe</t>
  </si>
  <si>
    <t>34.9</t>
  </si>
  <si>
    <t>Ludovici Hotibii Rigensis Lectiones Aristophaneae...</t>
  </si>
  <si>
    <t>Ludovici Hotibii ... Lectiones Aristophaneae, Ed. Curavit ...</t>
  </si>
  <si>
    <t>34.1</t>
  </si>
  <si>
    <t>Epistolae : Adversuus alambertium</t>
  </si>
  <si>
    <t>Longianensis, H. Ferrii</t>
  </si>
  <si>
    <t>Epistles; literary/philological form.</t>
  </si>
  <si>
    <t>Epistolae Ioannis Phil Roothaan</t>
  </si>
  <si>
    <t>various</t>
  </si>
  <si>
    <t>0.0</t>
  </si>
  <si>
    <t>Epistolae Hippocratis, Democriti, Heracliti, Diogenis. Cratetis, aliorúmque ad eosdem</t>
  </si>
  <si>
    <t>Eilhard Lubin</t>
  </si>
  <si>
    <t>Iosephi Mariani Parthenii E S.I. Epistolae</t>
  </si>
  <si>
    <t>Mazzolari, Giuseppe Maria. aut</t>
  </si>
  <si>
    <t>Flacci, Q. Horatti</t>
  </si>
  <si>
    <t>History of the Opera from its Origin in Italy to the present Time: With Anecdotes of the Most Celebrated Composers and Vocalists of Europe</t>
  </si>
  <si>
    <t>Edwards, H. Sutherland (Henry Sutherland)</t>
  </si>
  <si>
    <t>gutenberg</t>
  </si>
  <si>
    <t>44.0</t>
  </si>
  <si>
    <t>Space Opera</t>
  </si>
  <si>
    <t>Catherynne M. Valente</t>
  </si>
  <si>
    <t>34.0</t>
  </si>
  <si>
    <t>Beggar's opera</t>
  </si>
  <si>
    <t>John Gay</t>
  </si>
  <si>
    <t>31.4</t>
  </si>
  <si>
    <t>Arte del verbo italiano</t>
  </si>
  <si>
    <t>Stigliani, Fr. Tommaso</t>
  </si>
  <si>
    <t>Italian verb/language manual.</t>
  </si>
  <si>
    <t>Arte del verso italiano, con le tauole delle rime di tutte le ...</t>
  </si>
  <si>
    <t>80.3</t>
  </si>
  <si>
    <t>Arte del verso italiano (Tommaso Stigliani) - Archive.org</t>
  </si>
  <si>
    <t>80.1</t>
  </si>
  <si>
    <t>L'"Arte del verso italiano" di Tommaso Stigliani: edizione e ...</t>
  </si>
  <si>
    <t>75.3</t>
  </si>
  <si>
    <t>Exercitationes oratoriae</t>
  </si>
  <si>
    <t>Masenio, P. Jacobo</t>
  </si>
  <si>
    <t>ANAKREONTOS THIOT MEDH = Les poesies D'Anacreon</t>
  </si>
  <si>
    <t>De Montausier, Le Duc</t>
  </si>
  <si>
    <t>Poetry of Anacreon.</t>
  </si>
  <si>
    <t>Charles de Sainte-Maure, duc de Montausier</t>
  </si>
  <si>
    <t>45.6</t>
  </si>
  <si>
    <t>Mémoires de monsieur le duc de Montausier ; pair de France ...</t>
  </si>
  <si>
    <t>Charles D'Orleans Poesies</t>
  </si>
  <si>
    <t>Pierre Champion</t>
  </si>
  <si>
    <t>18.7</t>
  </si>
  <si>
    <t>Larelligion : Poëme</t>
  </si>
  <si>
    <t>Fils, Racine</t>
  </si>
  <si>
    <t>Religious poem; literary form controls classification.</t>
  </si>
  <si>
    <t>La religion poème par Racine fils : Louis Racine : Free ...</t>
  </si>
  <si>
    <t>La religion poème par Racine fils - Google Books</t>
  </si>
  <si>
    <t>La religion poème par Racine fils - ia600301.us.archive.org</t>
  </si>
  <si>
    <t>Raggionamiento del padre Ireneo Affó</t>
  </si>
  <si>
    <t>Affó, Ireneo</t>
  </si>
  <si>
    <t>Generic 'Ragionamento'; provisional belles-lettres pending identification.</t>
  </si>
  <si>
    <t>Ragionamento del padre Ireneo Affò regio bibliotecario ...</t>
  </si>
  <si>
    <t>84.4</t>
  </si>
  <si>
    <t>Ragionamento del padre Ireneo Affáo ... sopra una stanza ...</t>
  </si>
  <si>
    <t>84.3</t>
  </si>
  <si>
    <t>Preescolar guía del padre para el éxito de su hijo (Pre-K Parent Guide for Your Child's Success)</t>
  </si>
  <si>
    <t>Barchers, Suzanne I., author</t>
  </si>
  <si>
    <t>Lamedicina curativa</t>
  </si>
  <si>
    <t>Leroy</t>
  </si>
  <si>
    <t>Medicine.</t>
  </si>
  <si>
    <t>La medicina curativa : ó La purga dirigida contra la causa de ...</t>
  </si>
  <si>
    <t>61.1</t>
  </si>
  <si>
    <t>La Medicina Curativa O La Purgación: Dirigida ... - Amazon</t>
  </si>
  <si>
    <t>39.6</t>
  </si>
  <si>
    <t>Medicina curativa, ou o methodo purgante dirigido contra a causa das enfermidades ...</t>
  </si>
  <si>
    <t>Le Roy, Louis. n 85148670</t>
  </si>
  <si>
    <t>4.8</t>
  </si>
  <si>
    <t>Lecciones de geografía</t>
  </si>
  <si>
    <t>Gaultier</t>
  </si>
  <si>
    <t>Geography.</t>
  </si>
  <si>
    <t>Lecciones de geografía por el abate Gaultier</t>
  </si>
  <si>
    <t>Gastón Federico Tobal</t>
  </si>
  <si>
    <t>39.1</t>
  </si>
  <si>
    <t>Lecciones de geografía de Navarra</t>
  </si>
  <si>
    <t>Lecciones de geografía de Venezuela</t>
  </si>
  <si>
    <t>José Luis Sánchez-Trincado</t>
  </si>
  <si>
    <t>37.9</t>
  </si>
  <si>
    <t>De arte rhetorica</t>
  </si>
  <si>
    <t>Juvencyo, P. Joosepho</t>
  </si>
  <si>
    <t>Pierre Cotel</t>
  </si>
  <si>
    <t>El DePorte de Criar: Un Librito Lindo de Arte y Reflexiones</t>
  </si>
  <si>
    <t>Oyuki Aguilar</t>
  </si>
  <si>
    <t>Arte de los medios y transformaciones sociales durante la transición en Chile 1990-2014</t>
  </si>
  <si>
    <t>Valentina Montero</t>
  </si>
  <si>
    <t>2.6</t>
  </si>
  <si>
    <t>P. Virgilius Maro</t>
  </si>
  <si>
    <t>Melio, Jano Huberto</t>
  </si>
  <si>
    <t>Virgil.</t>
  </si>
  <si>
    <t>Publius Vergilius Maro</t>
  </si>
  <si>
    <t>P. Vergilius Maro - Virgil - Google Books</t>
  </si>
  <si>
    <t>13.0</t>
  </si>
  <si>
    <t>P. Vergilius Maro : Virgil : Free Download, Borrow, and ...</t>
  </si>
  <si>
    <t>6.4</t>
  </si>
  <si>
    <t>Viro vere nobili, D. Roberto Killigraeo</t>
  </si>
  <si>
    <t>killigraeo, D. Roberto</t>
  </si>
  <si>
    <t>Latin dedicatory/oratorical title; provisional literary classification.</t>
  </si>
  <si>
    <t>M. Val. Martialis Epigrammata. Cum notis Thomæ Farnabii</t>
  </si>
  <si>
    <t>Roberto Viro - Facebook</t>
  </si>
  <si>
    <t>A pearl to India; the life of Roberto de Nobili</t>
  </si>
  <si>
    <t>33.3</t>
  </si>
  <si>
    <t>Graduel romain</t>
  </si>
  <si>
    <t>L'histoire de Thucydide : De la guerre du peloponese</t>
  </si>
  <si>
    <t>L'Histoire de Thucydide de la Guerre du Peloponese</t>
  </si>
  <si>
    <t>Libellus criticus</t>
  </si>
  <si>
    <t>Hwiid, Andr. Christiani</t>
  </si>
  <si>
    <t>The work is textual criticism of a Greek New Testament manuscript.</t>
  </si>
  <si>
    <t>Libellus criticus de indole codicis ms. Graeci Novi Testamenti bibliothecae Caesareo-Windobonensis Lambecii XXXIV</t>
  </si>
  <si>
    <t>Biblical criticism / sacred philology</t>
  </si>
  <si>
    <t>Eusebio : Memorias</t>
  </si>
  <si>
    <t>Eusebio</t>
  </si>
  <si>
    <t>Title 'Eusebio: Memorias' suggests memoirs; provisional history.</t>
  </si>
  <si>
    <t>Eusebio: historia sacada de las memorias que dejó él mismo ...</t>
  </si>
  <si>
    <t>Eusebio. Parte primeraquarta sacada de las memorias que dexó ...</t>
  </si>
  <si>
    <t>Eusebio: Historia Sacada De Las Memorias... book by Pedro De ...</t>
  </si>
  <si>
    <t>82.2</t>
  </si>
  <si>
    <t>Philosophiae professori</t>
  </si>
  <si>
    <t>Bornio, D. Henrico</t>
  </si>
  <si>
    <t>Title indicates philosophy; provisional philosophy.</t>
  </si>
  <si>
    <t>J. Castillioneus Dno. De Montagny V. C. Philosophiae ...</t>
  </si>
  <si>
    <t>20.9</t>
  </si>
  <si>
    <t>Theoria philosophiae hermeticae, septem tractatibvs, quorum ...</t>
  </si>
  <si>
    <t>Theoria philosophiae hermeticae [microform] : septem ...</t>
  </si>
  <si>
    <t>11.3</t>
  </si>
  <si>
    <t>Los dos libros de las epistolas</t>
  </si>
  <si>
    <t>Los dos libros de las epistolas selectas</t>
  </si>
  <si>
    <t>93.6</t>
  </si>
  <si>
    <t>Los Diezyseys libros de las Epistolas o cartas de Marco Tulio ...</t>
  </si>
  <si>
    <t>85.4</t>
  </si>
  <si>
    <t>dos libros epistolas selectas de ciceron marco tulio - Iberlibro</t>
  </si>
  <si>
    <t>82.5</t>
  </si>
  <si>
    <t>L'ercolano dialogo d M. Benedetto Varchi</t>
  </si>
  <si>
    <t>Varchi, Benedetto</t>
  </si>
  <si>
    <t>L' Ercolano</t>
  </si>
  <si>
    <t>The america new dispensatory</t>
  </si>
  <si>
    <t>Thacher, James</t>
  </si>
  <si>
    <t>Medical dispensatory.</t>
  </si>
  <si>
    <t>The American New Dispensatory: Containing General Principles ...</t>
  </si>
  <si>
    <t>The American new dispensatory by James Thacher | Open Library</t>
  </si>
  <si>
    <t>84.1</t>
  </si>
  <si>
    <t>The American New Dispensatory | James Thacher | World Herb ...</t>
  </si>
  <si>
    <t>83.9</t>
  </si>
  <si>
    <t>Llave nueva y universal : Para aprender con brevedad y pefección la lengua francesa</t>
  </si>
  <si>
    <t>Galmace, Antonio</t>
  </si>
  <si>
    <t>A method for learning French belongs to language studies.</t>
  </si>
  <si>
    <t>Llave Nueva Y Universal Para Aprender Con Brevedad Y Perfeccion La Lengua Francesa: Dividida En Dos Partes ... (Spanish Edition)</t>
  </si>
  <si>
    <t>Linguistics / language method</t>
  </si>
  <si>
    <t>Pindar Carmina</t>
  </si>
  <si>
    <t>Heyne, Cristian Gottlob</t>
  </si>
  <si>
    <t>Pindar's songs.</t>
  </si>
  <si>
    <t>Pindari carmina et fragmenta by Pindar | Open Library</t>
  </si>
  <si>
    <t>60.9</t>
  </si>
  <si>
    <t>Pindari Carmina : Pindar, Christian Gottlob Heyne : Free ...</t>
  </si>
  <si>
    <t>Pindari carmina - Christian Gottlob Heyne - Google BooksPindari carmina - Christian Gottlob Heyne - Google BooksPindari Carmina, Volume 1 (Greek Edition): Pindar, Christian ...Carmina by Pindar Christian Gottlob Heyne - AbeBooksPindari carmina et fragmenta by Pindar | Open Library</t>
  </si>
  <si>
    <t>57.8</t>
  </si>
  <si>
    <t>Museum criticum</t>
  </si>
  <si>
    <t>Museum Criticum is classical textual/philological scholarship.</t>
  </si>
  <si>
    <t>Museum criticum:</t>
  </si>
  <si>
    <t>Classical philology</t>
  </si>
  <si>
    <t>Aeschinis Socratici : Dialogi tres</t>
  </si>
  <si>
    <t>Aeschinis Socratici Dialogi tres</t>
  </si>
  <si>
    <t>Discorso inaugurale : Concordanza</t>
  </si>
  <si>
    <t>Inaugural discourse; provisional oratory.</t>
  </si>
  <si>
    <t>Discorso inaugurale - Massimo Barra</t>
  </si>
  <si>
    <t>Concordanza ed uso degli studii di archeologia numismatica ...</t>
  </si>
  <si>
    <t>42.9</t>
  </si>
  <si>
    <t>Discorso inaugurale e annuario accademico - Google Books</t>
  </si>
  <si>
    <t>Brani inediti : Dei promessi sposi</t>
  </si>
  <si>
    <t>Unpublished passages from I promessi sposi belong with literary prose.</t>
  </si>
  <si>
    <t>Brani Inediti Dei Promessi Sposi</t>
  </si>
  <si>
    <t>Literary text / Manzoni</t>
  </si>
  <si>
    <t>Opere inedite e rare</t>
  </si>
  <si>
    <t>Monti, Vicenzo</t>
  </si>
  <si>
    <t>Histoire sacrée de L'ancient testament</t>
  </si>
  <si>
    <t>Sacred history of the Old Testament.</t>
  </si>
  <si>
    <t>L’histoire de l’Ancien Testament - odbm.org</t>
  </si>
  <si>
    <t>Histoire de l'Ancien Testament - 10 grandes étapes pour ...</t>
  </si>
  <si>
    <t>59.1</t>
  </si>
  <si>
    <t>Ancien Testament : qui l’a écrit ? Histoire et art sacré</t>
  </si>
  <si>
    <t>Evidencia de la religión cristiana contra la filosofía de la incredulidad : Voz de la iglesia católica a los protestantes</t>
  </si>
  <si>
    <t>Defense/evidence of Christianity against unbelief and Protestantism.</t>
  </si>
  <si>
    <t>Evidencia de la religión cristiana contra la filosofía de la ...</t>
  </si>
  <si>
    <t>81.3</t>
  </si>
  <si>
    <t>Definición - evidencia | Diccionario de la lengua española</t>
  </si>
  <si>
    <t>Definición de evidencia. concepto, historia, usos y etimología</t>
  </si>
  <si>
    <t>Pedro</t>
  </si>
  <si>
    <t>Arnaud, M. H.</t>
  </si>
  <si>
    <t>Only 'Pedro' by Arnaud survives; provisional literary classification.</t>
  </si>
  <si>
    <t>Pedro Arnaud - YouTube</t>
  </si>
  <si>
    <t>20+ "Pedro Arnaud" profiles | LinkedIn</t>
  </si>
  <si>
    <t>Pedro Arnaud - IT Analyst III at MDM Solutions | ZoomInfo</t>
  </si>
  <si>
    <t>Oeuvres de M. L'Abbé de Condillac</t>
  </si>
  <si>
    <t>Condillac, M. L'abbé</t>
  </si>
  <si>
    <t>Works of Condillac; philosophy.</t>
  </si>
  <si>
    <t>Oeuvres de m.l'abbé de Condillac ..</t>
  </si>
  <si>
    <t>Etienne Bonnot de Condillac</t>
  </si>
  <si>
    <t>Oeuvres metaphysiques de Condillac, revues, corrigees, augmentees par l’auteur, et imprimees sur ses manuscrits autographes. Tome premier (-quatrieme)</t>
  </si>
  <si>
    <t>Condillac, Étienne : Bonnot de</t>
  </si>
  <si>
    <t>23.1</t>
  </si>
  <si>
    <t>Oeuvres complètes de Fréret ...</t>
  </si>
  <si>
    <t>Nicolas Fréret</t>
  </si>
  <si>
    <t>4.4</t>
  </si>
  <si>
    <t>Lecciones de geografía. Tome 2 / , por el abate Gaultier ...</t>
  </si>
  <si>
    <t>92.4</t>
  </si>
  <si>
    <t>1825.- LECCIONES DE GEOGRAFIA. GAULTIER - IberLibro.com</t>
  </si>
  <si>
    <t>Biblioteca Virtual de Andalucía &gt; Lecciones de geografía</t>
  </si>
  <si>
    <t>85.8</t>
  </si>
  <si>
    <t>Ensayo sobre la distinción de los sinónimos de la lengua castellana</t>
  </si>
  <si>
    <t>Jonama, D. S.</t>
  </si>
  <si>
    <t>Spanish synonyms / language study.</t>
  </si>
  <si>
    <t>Ensayo sobre la distincion de los sinónimos de la lengua ...</t>
  </si>
  <si>
    <t>Biblioteca Digital de la Comunidad de Madrid &gt; Ensayo sobre...</t>
  </si>
  <si>
    <t>· Cinco Puntos De Vista Sobre La Inerrancia Bíblica</t>
  </si>
  <si>
    <t>Varios autores</t>
  </si>
  <si>
    <t>Modo de enseñar y estudiar las bellas letras</t>
  </si>
  <si>
    <t>Mons. Rolin</t>
  </si>
  <si>
    <t>Teaching/study of belles-lettres.</t>
  </si>
  <si>
    <t>#1 - Modo de enseñar y estudiar las bellas letras ...</t>
  </si>
  <si>
    <t>96.4</t>
  </si>
  <si>
    <t>Modo de enseñar y estudiar las bellas lettras para ilustrar ...</t>
  </si>
  <si>
    <t>AUTORA Caso, María Catalina de (trad.) TÍTULO Modo de enseñar ...</t>
  </si>
  <si>
    <t>17.5</t>
  </si>
  <si>
    <t>Opuscula : Quibus institutio universae theologiae</t>
  </si>
  <si>
    <t>Agustini, Sancti Aurelii</t>
  </si>
  <si>
    <t>Institution of universal theology.</t>
  </si>
  <si>
    <t>Sancti Aurelii Agustini Opuscula quibus institutio universae ...</t>
  </si>
  <si>
    <t>Sancti Aurelii Augistini … Opuscula, Quibus Institutio ...</t>
  </si>
  <si>
    <t>47.7</t>
  </si>
  <si>
    <t>Sancti Aurelii Augustini Hipponensis episcopi Opuscula quibus ...</t>
  </si>
  <si>
    <t>46.2</t>
  </si>
  <si>
    <t>Rome : Au siècle d'auguste</t>
  </si>
  <si>
    <t>Dezobry, Ch.</t>
  </si>
  <si>
    <t>Rome au siècle d'Auguste</t>
  </si>
  <si>
    <t>Les siecles pïens : Ou dictionnaire mythologique, héroïquue, politique, littéraire et géographique</t>
  </si>
  <si>
    <t>Castres</t>
  </si>
  <si>
    <t>Mythological, heroic, political, literary and geographical dictionary; placed with literary/mythological reference.</t>
  </si>
  <si>
    <t>Les Siècles païens, ou Dictionnaire mythologique, héroïque ...</t>
  </si>
  <si>
    <t>82.3</t>
  </si>
  <si>
    <t>Dictionnaire français-italien italien-français</t>
  </si>
  <si>
    <t>n/a</t>
  </si>
  <si>
    <t>17.8</t>
  </si>
  <si>
    <t>Le grand dictionnaire historique ou Le mélange curieux de l'histoire sacrée et profane, vol. 5</t>
  </si>
  <si>
    <t>Moréri, Louis, 1643-1680; Goujet, Claude-Pierre; Drouet, Étienne François</t>
  </si>
  <si>
    <t>16.8</t>
  </si>
  <si>
    <t>Parte práctica de botánica del caballero Cárlos Linneo : Que comprehende las clases, órdenes, géneros, especies y variedades de las plantas</t>
  </si>
  <si>
    <t>Linneo, Cárlos</t>
  </si>
  <si>
    <t>Sistema de los vegetablesơ resumen de la parte práctica de botánica del caballero Cárlos Linneo, que comprehende las classes, ơrdenes, generos y especies de las plantas, con algunas de sus variedades</t>
  </si>
  <si>
    <t>Biblioteca completa de educación : Instrucciones para las señoras jóvenes en la edad de entrar ya en la sociedad y poderse casar.</t>
  </si>
  <si>
    <t>Le prince de Beaumont</t>
  </si>
  <si>
    <t>Education/conduct manual; placed with moral/practical sciences.</t>
  </si>
  <si>
    <t>Biblioteca Completa De Educación O Instrucciones Para Las ...</t>
  </si>
  <si>
    <t>92.8</t>
  </si>
  <si>
    <t>Details for Biblioteca completa de educación o instrucciones ...</t>
  </si>
  <si>
    <t>86.4</t>
  </si>
  <si>
    <t>Biblioteca completa de educacion.- Leprince de Beaumont ...</t>
  </si>
  <si>
    <t>85.3</t>
  </si>
  <si>
    <t>Historia de la revolución de Francia</t>
  </si>
  <si>
    <t>Grimau de Velaunde, Francisco</t>
  </si>
  <si>
    <t>Historia de la revolución de Francia. Tomo IV</t>
  </si>
  <si>
    <t>The oscotian : A literary gazette</t>
  </si>
  <si>
    <t>St. Mary's college, Oscott</t>
  </si>
  <si>
    <t>A literary gazette/periodical is treated as documentary/literary history; human reviewer may prefer Belles-lettres.</t>
  </si>
  <si>
    <t>Periodicals / literary history</t>
  </si>
  <si>
    <t>Voyage du jeune anacharsis : En Grèce</t>
  </si>
  <si>
    <t>M. L'Abbe Barthelemy</t>
  </si>
  <si>
    <t>Voyage du Jeune Anacharsis en Gréce</t>
  </si>
  <si>
    <t>El protestantismo : Y todas las herencias en la relación que tiene con el socialismo</t>
  </si>
  <si>
    <t>Nicolas, Augusto</t>
  </si>
  <si>
    <t>Protestantism and heresies.</t>
  </si>
  <si>
    <t>El protestantismo y todas las herejías en la relación que ...</t>
  </si>
  <si>
    <t>Del Protestantismo Y De Todas Las Herejias En Su Relacions ...</t>
  </si>
  <si>
    <t>Nicolás, Augusto. El Protestantismo y Todas las Heregías en ...</t>
  </si>
  <si>
    <t>Publii ovidii nasoniis : Opera</t>
  </si>
  <si>
    <t>Works of Ovid.</t>
  </si>
  <si>
    <t>Publii Ovidii Nasonis Opera - Publius Ovidius Naso - Google Books</t>
  </si>
  <si>
    <t>68.2</t>
  </si>
  <si>
    <t>Publii Ovidii Nasonis Opera omnia - Ovid - Google Books</t>
  </si>
  <si>
    <t>66.5</t>
  </si>
  <si>
    <t>Publii Ovidii Nasonis Opera omnia : IV. voluminibus ...</t>
  </si>
  <si>
    <t>66.0</t>
  </si>
  <si>
    <t>Fuero de la conciencia</t>
  </si>
  <si>
    <t>Fr. Valentin de la Madre de Diiios</t>
  </si>
  <si>
    <t>Fuero de la conciencia / Compendio Salmanticense Moral is a work of moral theology, despite legal vocabulary.</t>
  </si>
  <si>
    <t>Fuero de la Conciencia y Compendio Salmanticense Moral ...</t>
  </si>
  <si>
    <t>Moral theology</t>
  </si>
  <si>
    <t>Máxîmas para el ministerio del pulpito</t>
  </si>
  <si>
    <t>Gaychies, R. P. J.</t>
  </si>
  <si>
    <t>Maxims for pulpit ministry / homiletics.</t>
  </si>
  <si>
    <t>Máximas para el Ministerio del pulpito</t>
  </si>
  <si>
    <t>Biblioteca Digital de la Comunidad de Madrid &gt; Máximas para...</t>
  </si>
  <si>
    <t>80.0</t>
  </si>
  <si>
    <t>A 3 Para Mercado Progreso Alexander Duré</t>
  </si>
  <si>
    <t>15.1</t>
  </si>
  <si>
    <t>XENOFWNTOS : EFESIOG = Xenophontis : Ephesii</t>
  </si>
  <si>
    <t>Xenophontus</t>
  </si>
  <si>
    <t>Xenophon of Ephesus, classical/literary text.</t>
  </si>
  <si>
    <t>Xenophontis Ephesii De Anthia et Habrocome Ephesiacorum libri V.</t>
  </si>
  <si>
    <t>25.0</t>
  </si>
  <si>
    <t>Xenophōntos ta sōzomena. : Xenophontis quae extant</t>
  </si>
  <si>
    <t>Xenophon; Schneider, Johann Gottlob, 1750-1822; Bornemann, Friedrich August, 1788-1848; Sauppe, Gustav Albert, 1802-1870</t>
  </si>
  <si>
    <t>23.0</t>
  </si>
  <si>
    <t>Quaestiones Ad Xenophontis Elocutionem Pertinentes</t>
  </si>
  <si>
    <t>Horn, Gualterus</t>
  </si>
  <si>
    <t>20.7</t>
  </si>
  <si>
    <t>Relaciones de la vida y aventuras del escudero Marcos de Obregon</t>
  </si>
  <si>
    <t>Espinel, Vicente</t>
  </si>
  <si>
    <t>Relaciones de la vida y aventuras del escudero Marcos de Obregón</t>
  </si>
  <si>
    <t>Adparatvs litterarivs</t>
  </si>
  <si>
    <t>Adparatus litterarius recenset books; Brunet places bibliography under History.</t>
  </si>
  <si>
    <t>Adparatvs litterarivs vbi libri partim antiqvi partim rari recensentvr</t>
  </si>
  <si>
    <t>Bibliography</t>
  </si>
  <si>
    <t>Arte de encomendarse a Dios . Ó sea virtudes de la oración</t>
  </si>
  <si>
    <t>Bellati, Antonio Francisco</t>
  </si>
  <si>
    <t>A work on prayer and commendation to God is devotional theology.</t>
  </si>
  <si>
    <t>Arte De Encomendarse A Dios, Ó Sea, Virtudes De La Oracion (Spanish Edition)</t>
  </si>
  <si>
    <t>Devotional theology / prayer</t>
  </si>
  <si>
    <t>Principios de matemática : Donde se enseña la especulativa con su aplicación a la dinámica, hydrodinámica, óptica, astronomía, geografía, gnomónica, arquitectura, perspectiva y al calendario</t>
  </si>
  <si>
    <t>Bails, Benito</t>
  </si>
  <si>
    <t>Principios de matematica, donde se enseña la especulativa</t>
  </si>
  <si>
    <t>La leyenda de oro para cada día del año : Vidas de todos los santos que venera la iglesia</t>
  </si>
  <si>
    <t>Lives of saints are treated as biography/church history in Brunet.</t>
  </si>
  <si>
    <t>La leyenda de oro para cada dia del año: Vidas de todos los santos que venera la Iglesia /revisada por los PP de la Compañía de Jesús ; se publica con la aprobación y bajo los auspicios del Excmo. e Ilmo. Señor don Pantaleón Monserrat y Navarro ; [Prefacio del Padre Ribadeneira].</t>
  </si>
  <si>
    <t>Hagiography / biography</t>
  </si>
  <si>
    <t>Documentos para la historia de la dioses de Merida</t>
  </si>
  <si>
    <t>Documents for diocesan history.</t>
  </si>
  <si>
    <t>Documentos para la historia de Cuba</t>
  </si>
  <si>
    <t>Hortensia Pichardo Viñals</t>
  </si>
  <si>
    <t>66.2</t>
  </si>
  <si>
    <t>(PDF) Documentos para la historia - Academia.edu</t>
  </si>
  <si>
    <t>58.0</t>
  </si>
  <si>
    <t>Documentos y Textos archivos - Red Historia</t>
  </si>
  <si>
    <t>50.0</t>
  </si>
  <si>
    <t>Le odi di Q. Orazio Flacco</t>
  </si>
  <si>
    <t>Cesari, Antonio</t>
  </si>
  <si>
    <t>Le odi di Q. Orazio Flacco messe in rime toscane da Antonio Cesari dell'oratorio</t>
  </si>
  <si>
    <t>Historia antigua: De los Egipcios, de los Asirios, de los Babilonios, de los Medos, y de los Persas, de los Mecedonios, de los Griegos, de los Carthagineses, y de los Romanos</t>
  </si>
  <si>
    <t>Historia antigua de los egipcios, de los asirios, de los babilonios, de los medos, y de los persas, de los macedonios, de los griegos, de los carthagineses y de los romanos</t>
  </si>
  <si>
    <t>Apéndice a la educación popular</t>
  </si>
  <si>
    <t>Apendice a La educacion popular</t>
  </si>
  <si>
    <t>Dell' origine : Delle leggi, delle arti e delle scienze e loro progressi</t>
  </si>
  <si>
    <t>Popoli, Gli Antichi</t>
  </si>
  <si>
    <t>Della origine delle leggi, delle arti, e delle scienze, e dei loro progressi presso gli antichi popoli</t>
  </si>
  <si>
    <t>Legendis, imitandis et excerrpendis auctoribus : Libellus posthumus</t>
  </si>
  <si>
    <t>Morhofii, Dan. Georgii</t>
  </si>
  <si>
    <t>Guide to reading/imitating/excerpting authors; literary study.</t>
  </si>
  <si>
    <t>Dan. Georgii Morhofii, De legendis, imitandis et excerpendis ...</t>
  </si>
  <si>
    <t>search.library.yale.edu</t>
  </si>
  <si>
    <t>71.2</t>
  </si>
  <si>
    <t>Morhof, Daniel Georg - Persée</t>
  </si>
  <si>
    <t>69.2</t>
  </si>
  <si>
    <t>Voyage en orient 1832-1833</t>
  </si>
  <si>
    <t>Lamartine, M. De</t>
  </si>
  <si>
    <t>Voyage en Orient, 1832-1833</t>
  </si>
  <si>
    <t>Las aventuras de Nigel</t>
  </si>
  <si>
    <t>Walter Scott novel.</t>
  </si>
  <si>
    <t>Las Aventuras De Nigel - Walter Scott - Google Books</t>
  </si>
  <si>
    <t>Las Aventuras De Nigel (Spanish Edition) - amazon.com</t>
  </si>
  <si>
    <t>63.9</t>
  </si>
  <si>
    <t>Les aventures de Nigel = The fortunes of Nigel : Scott ...</t>
  </si>
  <si>
    <t>63.5</t>
  </si>
  <si>
    <t>Historia de la revolución de Inglaterra</t>
  </si>
  <si>
    <t>Lord Macaulay</t>
  </si>
  <si>
    <t>Oeuvres de Platon</t>
  </si>
  <si>
    <t>Platon</t>
  </si>
  <si>
    <t>Plato's works belong to philosophy.</t>
  </si>
  <si>
    <t>Oeuvres de Platon. Tome premier</t>
  </si>
  <si>
    <t>Philosophy</t>
  </si>
  <si>
    <t>Manuale della letteratura italiana</t>
  </si>
  <si>
    <t>Manual de literatura son Belles-lettres</t>
  </si>
  <si>
    <t>Manuale della letteratura Italiana</t>
  </si>
  <si>
    <t>Compendio della historia Romana</t>
  </si>
  <si>
    <t>Farini, Pellegrino</t>
  </si>
  <si>
    <t>Compendio della istoria romana di monsignore Pellegrino Farini</t>
  </si>
  <si>
    <t>Compendio della storia romana di Pellegrino Farini : Free ...</t>
  </si>
  <si>
    <t>Compendio della istoria romana by Pellegrino Farini: BUONO ...</t>
  </si>
  <si>
    <t>55.3</t>
  </si>
  <si>
    <t>Historia general de España compuesta</t>
  </si>
  <si>
    <t>Mariana, Juan de</t>
  </si>
  <si>
    <t>Opera : Orationes</t>
  </si>
  <si>
    <t>Ciceronis, M. Tvllii</t>
  </si>
  <si>
    <t>Cicero's orations.</t>
  </si>
  <si>
    <t>M. Tvllii Ciceronis Opera Omnia</t>
  </si>
  <si>
    <t>56.3</t>
  </si>
  <si>
    <t>M. Tullii Ciceronis opera: Orationes - Marcus Tullius Cicero ...</t>
  </si>
  <si>
    <t>36.8</t>
  </si>
  <si>
    <t>Opera: Orationes. 1 - Marcus Tullius Cicero - Google Books</t>
  </si>
  <si>
    <t>Opera : Epistolae</t>
  </si>
  <si>
    <t>M. Tvllii Ciceronis opera</t>
  </si>
  <si>
    <t>Cicero</t>
  </si>
  <si>
    <t>63.7</t>
  </si>
  <si>
    <t>M. Tullii Ciceronis opera: Epistolae ad diversos - Marcus ...</t>
  </si>
  <si>
    <t>36.4</t>
  </si>
  <si>
    <t>Opera philosophica. Epistolae, etc</t>
  </si>
  <si>
    <t>Seneca the Younger</t>
  </si>
  <si>
    <t>34.4</t>
  </si>
  <si>
    <t>Opera : Philosophica</t>
  </si>
  <si>
    <t>Cicero's philosophical works.</t>
  </si>
  <si>
    <t>M. Tvllii Ciceronis Opera Philosophica. Vol.1. In Vsvm ...</t>
  </si>
  <si>
    <t>M. Tvllii Ciceronis Opera Omnia - Google Books</t>
  </si>
  <si>
    <t>Catalog Record: Marci Tvllii Ciceronis opera omnia qvae... | HathiTrust ...</t>
  </si>
  <si>
    <t>Les auteurs latins expliqués d'après un méthode nouvelle par deux translations françaises, l'une littérale et juxtalinéaire ... l'autre correcte et précédées du texte latin ... Horace. Epîtres</t>
  </si>
  <si>
    <t>Works of the right rev. Bishop hay</t>
  </si>
  <si>
    <t>Hay, Bishop</t>
  </si>
  <si>
    <t>Works of Bishop Hay are theological.</t>
  </si>
  <si>
    <t>Works Of The Right Rev. Bishop Hay Of Edinburgh</t>
  </si>
  <si>
    <t>Theological works</t>
  </si>
  <si>
    <t>Sacrorum rituum congregationis : Decreta authentica</t>
  </si>
  <si>
    <t>Authentic decrees of the Sacred Congregation of Rites are ecclesiastical/canon-law material.</t>
  </si>
  <si>
    <t>Sacrorum rituum congregationis decreta authentica</t>
  </si>
  <si>
    <t>Canon law / ecclesiastical decrees</t>
  </si>
  <si>
    <t>Compendio de la historia de España</t>
  </si>
  <si>
    <t>Duchesne, R. P.</t>
  </si>
  <si>
    <t>Lecciones de historia</t>
  </si>
  <si>
    <t>Volney, M.</t>
  </si>
  <si>
    <t>History lessons.</t>
  </si>
  <si>
    <t>Lecciones De Historia by Volney, M - Z-Library</t>
  </si>
  <si>
    <t>94.2</t>
  </si>
  <si>
    <t>Lecciones de Historia | PDF | Escritura | Verdad</t>
  </si>
  <si>
    <t>Notice bibliographique Lecciones de historia, pronunciadas en ...</t>
  </si>
  <si>
    <t>Dictionnaire raisonné universel : D'histoire naturelle</t>
  </si>
  <si>
    <t>A universal dictionary of natural history belongs to natural sciences.</t>
  </si>
  <si>
    <t>Dictionnaire raisonné universel d'histoire naturelle...</t>
  </si>
  <si>
    <t>Compendio de la historia natural de Buffon : Clasificado según el sistema de Linéo</t>
  </si>
  <si>
    <t>Castel, Renato Ricardo</t>
  </si>
  <si>
    <t>Natural history; Brunet guide places natural history under sciences.</t>
  </si>
  <si>
    <t>Compendio de la historia natural de Buffon, clasificado según el ...</t>
  </si>
  <si>
    <t>Catalog Record: Compendio de la historia natural de Buffon ...</t>
  </si>
  <si>
    <t>Compendio De La Historia Natural De Buffon, Clasificado ... - Amazon.com</t>
  </si>
  <si>
    <t>68.9</t>
  </si>
  <si>
    <t>Elementos de física esperimental y meteorología</t>
  </si>
  <si>
    <t>Ponillet</t>
  </si>
  <si>
    <t>Experimental physics and meteorology.</t>
  </si>
  <si>
    <t>Elementos de física esperimental y de meteorología - M ...</t>
  </si>
  <si>
    <t>61.7</t>
  </si>
  <si>
    <t>elementos de fisica esperimental y de meteorolo - Compra ...</t>
  </si>
  <si>
    <t>51.9</t>
  </si>
  <si>
    <t>Éléments de physique expérimentale et de météorologie</t>
  </si>
  <si>
    <t>26.0</t>
  </si>
  <si>
    <t>Traité de pathologiie interne</t>
  </si>
  <si>
    <t>Jaccoud, S.</t>
  </si>
  <si>
    <t>Internal pathology/medicine.</t>
  </si>
  <si>
    <t>Traité de pathologie interne - Sigismond Jaccoud - Google Books</t>
  </si>
  <si>
    <t>81.5</t>
  </si>
  <si>
    <t>Traité de pathologie interne. Tome 1 / par S. Jaccoud ...</t>
  </si>
  <si>
    <t>Traité de pathologie interne : Jaccoud, S. (Sigismond), 1830-1913 ...</t>
  </si>
  <si>
    <t>Consideraciones sobre las verdades de la religion : Y los deberes del cristiano</t>
  </si>
  <si>
    <t>Challoner</t>
  </si>
  <si>
    <t>Truths of religion and duties of the Christian.</t>
  </si>
  <si>
    <t>Consideraciones sobre las verdades y los deberes cristianos ...</t>
  </si>
  <si>
    <t>Considerations upon Christian truths and Christian duties ...</t>
  </si>
  <si>
    <t>46.9</t>
  </si>
  <si>
    <t>Challoner, Richard - datos.bne.es</t>
  </si>
  <si>
    <t>45.1</t>
  </si>
  <si>
    <t>Hood, Thomas</t>
  </si>
  <si>
    <t>Poetical works.</t>
  </si>
  <si>
    <t>The poetical works of Thomas Hood</t>
  </si>
  <si>
    <t>Thomas Hood</t>
  </si>
  <si>
    <t>93.2</t>
  </si>
  <si>
    <t>Poems by Thomas Hood</t>
  </si>
  <si>
    <t>The complete poetical works</t>
  </si>
  <si>
    <t>Robert Burns</t>
  </si>
  <si>
    <t>Six months in Italy</t>
  </si>
  <si>
    <t>Hillard, George Stillman</t>
  </si>
  <si>
    <t>Six months in Italy. 1</t>
  </si>
  <si>
    <t>Vida de Joseph II : Emperador de Alemania</t>
  </si>
  <si>
    <t>Vida de Joseph II emperador de Alemania</t>
  </si>
  <si>
    <t>Obras de Don Joseph Cadalso</t>
  </si>
  <si>
    <t>Cadalso, Joseph</t>
  </si>
  <si>
    <t>Obras del Don Joseph Cadalso, coronel y comandante de esquadron del regimento de Borbon, y caballero del habito de Santiago</t>
  </si>
  <si>
    <t>Obras del coronel Don Joseph Cadalso</t>
  </si>
  <si>
    <t>Obras Del Coronel Don Joseph Cadalso, Comandante de Escuadrón Del Regimiento de Borbón, y Caballero Del Hábito de Santiago : (200 P. )</t>
  </si>
  <si>
    <t>Essai sur L'éloquence de la chaire, panégyriques, éloges et discours</t>
  </si>
  <si>
    <t>Maury, Jean Sifrein</t>
  </si>
  <si>
    <t>An essay on pulpit eloquence, panegyrics and speeches belongs to rhetoric/oratory.</t>
  </si>
  <si>
    <t>Essai sur l'éloquence de la chaire: panegyriques, éloges et discours</t>
  </si>
  <si>
    <t>Rhetoric / sacred oratory</t>
  </si>
  <si>
    <t>Eusebio: Sacadas de las memorias que dexó el mismo</t>
  </si>
  <si>
    <t>Montengon, Pedro</t>
  </si>
  <si>
    <t>Eusebio is a didactic novel/narrative.</t>
  </si>
  <si>
    <t>Eusebio: historia sacada de las memorias que dexó el mismo</t>
  </si>
  <si>
    <t>Ensayo histórico - apologetico : De la literatura española</t>
  </si>
  <si>
    <t>Lampillas, Xavier</t>
  </si>
  <si>
    <t>The title explicitly presents a historical-apologetic study of Spanish literature.</t>
  </si>
  <si>
    <t>Ensayo Historico-Apologetico de la Literatura Espanola</t>
  </si>
  <si>
    <t>Literary history</t>
  </si>
  <si>
    <t>El evangelio en triunfo : Ó historia de un filósofo desengañado</t>
  </si>
  <si>
    <t>El Evangelio en triunfo, ó Historia de un filósofo desengañado</t>
  </si>
  <si>
    <t>The life and times off cardinal Wiseman</t>
  </si>
  <si>
    <t>Ward, Wilfrid</t>
  </si>
  <si>
    <t>Life and times of Cardinal Wiseman; biography.</t>
  </si>
  <si>
    <t>The Life and Times of Cardinal Wiseman - Wilfrid Ward ...</t>
  </si>
  <si>
    <t>Papers of Wilfrid Ward - Archives Hub</t>
  </si>
  <si>
    <t>75.2</t>
  </si>
  <si>
    <t>The Life and Times of Cardinal Wiseman, Volume 2: Ward ...</t>
  </si>
  <si>
    <t>64.9</t>
  </si>
  <si>
    <t>Pindari opera : Qvae svpersvnt</t>
  </si>
  <si>
    <t>Pindar.</t>
  </si>
  <si>
    <t>Pindari Opera Qvae Svpersvnt...... book - ThriftBooks</t>
  </si>
  <si>
    <t>77.3</t>
  </si>
  <si>
    <t>Catalog Record: Pindari opera qvae svpersvnt. Textvm in... | HathiTrust ...</t>
  </si>
  <si>
    <t>76.8</t>
  </si>
  <si>
    <t>Pindari Opera Qvae Svpersvnt...... Paperback - Walmart.com</t>
  </si>
  <si>
    <t>73.9</t>
  </si>
  <si>
    <t>Oeuvres inédites de m. Charles - Éléonore : Defriche - Desgenettes</t>
  </si>
  <si>
    <t>Charles - Éléonore, M.</t>
  </si>
  <si>
    <t>Unpublished collected works; provisional literary classification.</t>
  </si>
  <si>
    <t>OEUVRES INEDITES DE M. CHARLES-ELEONORE DUFRICHE-DESGENETTES ...</t>
  </si>
  <si>
    <t>88.7</t>
  </si>
  <si>
    <t>Charles-Éléonore Dufriche-Desgenettes (1778-1860)</t>
  </si>
  <si>
    <t>Notice bibliographique Oeuvres inédites de M. Charles ...</t>
  </si>
  <si>
    <t>73.5</t>
  </si>
  <si>
    <t>Cartas á Sofía : En prosa y verso, sobre la física, química é historia natural</t>
  </si>
  <si>
    <t>Physics, chemistry and natural history.</t>
  </si>
  <si>
    <t>Cartas á Sofía: en prosa y verso, sobre la física, química é ...</t>
  </si>
  <si>
    <t>Cartas A Sofía PDF</t>
  </si>
  <si>
    <t>Cartas a sofía: una exploración de la filosofía y el amor en ...</t>
  </si>
  <si>
    <t>Corina ó Italia</t>
  </si>
  <si>
    <t>Stael - Holstein</t>
  </si>
  <si>
    <t>Corinne, or Italy, by Staël; literary work.</t>
  </si>
  <si>
    <t>Corina en Italia / por Mad. Stael-Holstein ; traducida ... v ...</t>
  </si>
  <si>
    <t>La Corinna, o sia L'Italia della signora di Stael Holstein</t>
  </si>
  <si>
    <t>Corina En Italia / Por Mad. Stael-Holstein - amazon.com</t>
  </si>
  <si>
    <t>Dictionnaire domestique : Portatif</t>
  </si>
  <si>
    <t>The portable domestic dictionary concerns agriculture, trades, household economy and practical arts.</t>
  </si>
  <si>
    <t>Dictionnaire domestique portatif</t>
  </si>
  <si>
    <t>Domestic economy / practical arts</t>
  </si>
  <si>
    <t>Oraciones escogidas de M. T. Ciceron</t>
  </si>
  <si>
    <t>Ciceron, M. T.</t>
  </si>
  <si>
    <t>Oraciones Escogidas De M. T. Cicerón</t>
  </si>
  <si>
    <t>Opera : Cum appositis italico carmine</t>
  </si>
  <si>
    <t>Maronis, P. Virgilii</t>
  </si>
  <si>
    <t>Virgil with Italian verse.</t>
  </si>
  <si>
    <t>P. Virgilii Maronis Opera cum appositis italico carmine ...</t>
  </si>
  <si>
    <t>91.3</t>
  </si>
  <si>
    <t>LibriSenzaDataOpera cum appositis italico carmine ...</t>
  </si>
  <si>
    <t>90.1</t>
  </si>
  <si>
    <t>Opera Cum Appositis Italico Carmine, Iterpretationibus, ac ...</t>
  </si>
  <si>
    <t>67.9</t>
  </si>
  <si>
    <t>Les plaidoyers politiques</t>
  </si>
  <si>
    <t>Démosthène</t>
  </si>
  <si>
    <t>Demosthenes' political pleas are oratory.</t>
  </si>
  <si>
    <t>Les Plaidoyers politiques</t>
  </si>
  <si>
    <t>Diictionnaire universel des hérésies : Des erreurs et des schismes</t>
  </si>
  <si>
    <t>Guyot, M.-T.</t>
  </si>
  <si>
    <t>Dictionary of heresies, errors and schisms.</t>
  </si>
  <si>
    <t>Dictionnaire universel des hérésies, des erreurs et des ...</t>
  </si>
  <si>
    <t>Dictionnaire des hérésies, des erreurs et des schismes, ou ...</t>
  </si>
  <si>
    <t>Élections législatives de 1993, Essonne - 91, circonscription n°09 : profession de foi de Philippe Guyot au tour 1</t>
  </si>
  <si>
    <t>45.0</t>
  </si>
  <si>
    <t>Cartas críticas : Sobre varias questiones eruditas, científicas, physicas, y morales, a la moda y algusto del presente siglo</t>
  </si>
  <si>
    <t>Constantini, Josef Antonio</t>
  </si>
  <si>
    <t>Critical letters on scientific, physical and moral questions; placed with sciences/philosophy.</t>
  </si>
  <si>
    <t>Cartas críticas sobre varias questiones eruditas, científicas ...</t>
  </si>
  <si>
    <t>94.8</t>
  </si>
  <si>
    <t>Galiciana. Biblioteca Dixital de Galicia &gt; Consulta › Cartas criticas ...</t>
  </si>
  <si>
    <t>COSTANTINI, Josef Antonio, abogado Cartas críticas sobre ...</t>
  </si>
  <si>
    <t>50.3</t>
  </si>
  <si>
    <t>Storia della marina pontificia : Nel medio evo</t>
  </si>
  <si>
    <t>Guglielmotti, P. Alberto</t>
  </si>
  <si>
    <t>A history of the papal navy in the Middle Ages is history.</t>
  </si>
  <si>
    <t>Storia della marina pontificia nel medio evo dal 728 al 1499</t>
  </si>
  <si>
    <t>Ecclesiastical / military history</t>
  </si>
  <si>
    <t>La nunziatura di Francia : Lettere a scipione borghese</t>
  </si>
  <si>
    <t>Nunciature letters to Scipione Borghese are diplomatic historical correspondence.</t>
  </si>
  <si>
    <t>La nunziatura di Francia del cardinale Guido Bentivoglio</t>
  </si>
  <si>
    <t>Diplomatic / ecclesiastical history</t>
  </si>
  <si>
    <t>Qvincti Horatti Flacii : Opera</t>
  </si>
  <si>
    <t>Fea, Carolvs</t>
  </si>
  <si>
    <t>Horace.</t>
  </si>
  <si>
    <t>Catalog Record: Qvincti Horatii Flacci Opera, ad MSS. codices ...</t>
  </si>
  <si>
    <t>Quinti Horatii Flacci_Opera ad mss. codices Vaticanos ...</t>
  </si>
  <si>
    <t>29.9</t>
  </si>
  <si>
    <t>Quincti Horatii Flacci Opera (1827) (Latin Edition)</t>
  </si>
  <si>
    <t>24.6</t>
  </si>
  <si>
    <t>Gramática latina : Escrita con nuevo y nuevas observaciones</t>
  </si>
  <si>
    <t>Yriarte, Juan de</t>
  </si>
  <si>
    <t>Mélanges</t>
  </si>
  <si>
    <t>Lacordaire, Henri - Dominique</t>
  </si>
  <si>
    <t>Mélanges is a miscellany; Brunet has a dedicated miscellanies/collections branch under Belles-lettres.</t>
  </si>
  <si>
    <t>Miscellanies / collected pieces</t>
  </si>
  <si>
    <t>XENOFWNTOS APOMNHMONEGMATWN : BIBLIA TESSAPA = Commentarri : Dictorvm factorvmqve socratis ad defendendvm evm scripti a xenophonte</t>
  </si>
  <si>
    <t>Schneider, Gottlob</t>
  </si>
  <si>
    <t>Xenophon's Memorabilia on Socrates; philosophical content.</t>
  </si>
  <si>
    <t>Catalog Record: Xenophōntos Apomnēmoneumatōn biblia ...</t>
  </si>
  <si>
    <t>63.0</t>
  </si>
  <si>
    <t>Opera. Vol. VI: Apomnemoneymaton biblia tessara. Commentarii...</t>
  </si>
  <si>
    <t>Xenophōntos Apomnēmoneumatōn biblia tessara = Commentarii ...</t>
  </si>
  <si>
    <t>59.8</t>
  </si>
  <si>
    <t>XENOFWNTOS : ELLHNIKWN ISTOPIWN BIBLIA EPTA = Xenophontis : Historiae graecae libri septem</t>
  </si>
  <si>
    <t>Xenophon's Greek history.</t>
  </si>
  <si>
    <t>Luis Arnaldich, EL ORIGEN DEL MUNDO Y DEL HOMBRE SEGUN LA BIBLIA</t>
  </si>
  <si>
    <t>31.7</t>
  </si>
  <si>
    <t>La Nueva Biblia</t>
  </si>
  <si>
    <t>JORGE E. CARRERA CHONG</t>
  </si>
  <si>
    <t>30.6</t>
  </si>
  <si>
    <t>Lo Que Dice La Biblia (preguntas)</t>
  </si>
  <si>
    <t>Joaquin Abreu</t>
  </si>
  <si>
    <t>30.1</t>
  </si>
  <si>
    <t>Publii Virgilii Maronis : Opera</t>
  </si>
  <si>
    <t>Publii Virgilii Maronis opera</t>
  </si>
  <si>
    <t>P. Virgilii Maronis Opera - Wythepedia: The George Wythe Encyclopedia</t>
  </si>
  <si>
    <t>Publii Virgilii Maronis Bucolica, Georgica, et Aeneis</t>
  </si>
  <si>
    <t>Oeuvres de Walter Scott : Waverley</t>
  </si>
  <si>
    <t>Oeuvres de Walter Scott</t>
  </si>
  <si>
    <t>Oeuvres de Walter Scott : Guy mannering</t>
  </si>
  <si>
    <t>Oeuvres de Walter Scott. Tome II, Guy Mannering / traduites par A. J. B. Defauconpret 1835 [Leather Bound]</t>
  </si>
  <si>
    <t>Oeuvres de Walter Scott : L'Antiquaire</t>
  </si>
  <si>
    <t>The Antiquary is a Walter Scott novel.</t>
  </si>
  <si>
    <t>Oeuvres de Walter Scott : Rob Roy</t>
  </si>
  <si>
    <t>Oeuvres de Walter Scott : Le nain noir</t>
  </si>
  <si>
    <t>Oeuvres de Walter Scott : La prison D'Édimbourg</t>
  </si>
  <si>
    <t>Oeuvres de Walter Scott : La fiancée de lammermoor</t>
  </si>
  <si>
    <t>Oeuvres de Walter Scott : Ivanhoe</t>
  </si>
  <si>
    <t>Oeuvres de Walter Scott : Le monastère</t>
  </si>
  <si>
    <t>Oeuvres de Walter Scott : Le pirate</t>
  </si>
  <si>
    <t>Le Pirate is a Walter Scott novel; the linked candidate is mismatched and should not determine the category.</t>
  </si>
  <si>
    <t>Le Comte de Monte Cristo</t>
  </si>
  <si>
    <t>Oeuvres de Walter Scott : Kenilworth</t>
  </si>
  <si>
    <t>Oeuvres de Walter Scott : Les aventures de Nigel</t>
  </si>
  <si>
    <t>Les aventures de Nigel is a Walter Scott novel; linked candidate appears mismatched.</t>
  </si>
  <si>
    <t>Vingt mille lieues sous les mers</t>
  </si>
  <si>
    <t>Oeuvres de Walter Scott : Peveril du pic</t>
  </si>
  <si>
    <t>Oeuvres de Walter Scott : Quentin durward</t>
  </si>
  <si>
    <t>Quentin Durward is a Walter Scott novel.</t>
  </si>
  <si>
    <t>Oeuvres de Walter Scott : Les eaux de saint-ronan</t>
  </si>
  <si>
    <t>Les Eaux de Saint-Ronan is a Walter Scott novel; linked candidate is mismatched.</t>
  </si>
  <si>
    <t>Oeuvres de Walter Scott : Redgauntlet</t>
  </si>
  <si>
    <t>Oeuvres de Walter Scott : Le connétable de chester</t>
  </si>
  <si>
    <t>Oeuvres de Walter Scott : Richard en Palestine</t>
  </si>
  <si>
    <t>Oeuvres de Walter Scott : Woodstock</t>
  </si>
  <si>
    <t>Woodstock is a Walter Scott novel; linked candidate appears mismatched.</t>
  </si>
  <si>
    <t>Poems</t>
  </si>
  <si>
    <t>Oeuvres de Walter Scott : Les chronique de la canongate</t>
  </si>
  <si>
    <t>Chronicles of the Canongate is Walter Scott fiction.</t>
  </si>
  <si>
    <t>Oeuvres de Walter Scott : Lajolie fille de perth</t>
  </si>
  <si>
    <t>Oeuvres de Walter Scott : Charles - Le - Téméraire</t>
  </si>
  <si>
    <t>Charles le Téméraire in this Scott series is fiction; linked candidate appears mismatched.</t>
  </si>
  <si>
    <t>Oeuvres de Walter Scott : Robert de Paris</t>
  </si>
  <si>
    <t>Oeuvres de Walter Scott : Le chateau périlleux</t>
  </si>
  <si>
    <t>Oeuvres De Walter Scott: Le Chateau Périlleux... (French Edition)</t>
  </si>
  <si>
    <t>Oeuvres de Walter Scott : Histoire d'Écosse</t>
  </si>
  <si>
    <t>Oeuvres de Walter Scott : Romans poétiques</t>
  </si>
  <si>
    <t>Romans poétiques in the Walter Scott collected edition belongs with literary works rather than general history.</t>
  </si>
  <si>
    <t>Poetry / literary works</t>
  </si>
  <si>
    <t>Gymnasium : Sive symbola critica</t>
  </si>
  <si>
    <t>Critical/philological title ('Gymnasium sive symbola critica').</t>
  </si>
  <si>
    <t>Gymnasium sive symbola critica</t>
  </si>
  <si>
    <t>Crombie, Alexander</t>
  </si>
  <si>
    <t>Scena Crítica, N. 01, Ano 1</t>
  </si>
  <si>
    <t>scenacritica.com</t>
  </si>
  <si>
    <t>41.7</t>
  </si>
  <si>
    <t>Critically Acclaimed Cuisine</t>
  </si>
  <si>
    <t>E2 Intensive Care Unit- Stanford Hospital</t>
  </si>
  <si>
    <t>27.8</t>
  </si>
  <si>
    <t>El evangelio meditado</t>
  </si>
  <si>
    <t>Duquesne</t>
  </si>
  <si>
    <t>L'odyssée d'Homère</t>
  </si>
  <si>
    <t>Homère</t>
  </si>
  <si>
    <t>L'Odyssée d'Homère</t>
  </si>
  <si>
    <t>Del Papa</t>
  </si>
  <si>
    <t>Mistre, J. De</t>
  </si>
  <si>
    <t>De Maistre's Du Pape is political/religious philosophy; placed under philosophy.</t>
  </si>
  <si>
    <t>Del Papa - Wikipedia</t>
  </si>
  <si>
    <t>33.7</t>
  </si>
  <si>
    <t>Los espías del Papa</t>
  </si>
  <si>
    <t>Eric Frattini</t>
  </si>
  <si>
    <t>L' anell del Papa Luna</t>
  </si>
  <si>
    <t>Joan Pla</t>
  </si>
  <si>
    <t>32.1</t>
  </si>
  <si>
    <t>Opuscula historica</t>
  </si>
  <si>
    <t>Morales, Ambrosii</t>
  </si>
  <si>
    <t>Historical opuscula.</t>
  </si>
  <si>
    <t>AMBROSII MORALES, OPUSCULA HISTORICA</t>
  </si>
  <si>
    <t>88.5</t>
  </si>
  <si>
    <t>Opúsculos castellanos de Ambrosio de Morales : Morales ...</t>
  </si>
  <si>
    <t>78.0</t>
  </si>
  <si>
    <t>Biblioteca Virtual de Andalucía &gt; Ambrosii Morales opuscula...</t>
  </si>
  <si>
    <t>Les trois Rome : Journal d'un voyage en Italie</t>
  </si>
  <si>
    <t>Les trois Rome, journal d'un voyage en Italie. T. 2</t>
  </si>
  <si>
    <t>La storia dell' anno 1750</t>
  </si>
  <si>
    <t>History of the year 1750.</t>
  </si>
  <si>
    <t>La storia dell'anno 1750. Divisa in quattro libri. Dove ...</t>
  </si>
  <si>
    <t>77.2</t>
  </si>
  <si>
    <t>La storia dell'amore (2016) | FilmTV.it</t>
  </si>
  <si>
    <t>54.3</t>
  </si>
  <si>
    <t>La storia dell'amore - Wikipedia</t>
  </si>
  <si>
    <t>53.4</t>
  </si>
  <si>
    <t>Compendio de la historia universal : Ó pintura histórica de todas las naciones</t>
  </si>
  <si>
    <t>Anquetil</t>
  </si>
  <si>
    <t>Compendio de la Historia Universal o Pintura Historica de Todas Las Naciones, Su Origen, Vicisitudes y Progresos Hasta Nuestros Dias, Volume 4...</t>
  </si>
  <si>
    <t>Dictionnaire : Francais-Italien et Italien-Francais</t>
  </si>
  <si>
    <t>Barberi, J. PH.</t>
  </si>
  <si>
    <t>Grand dictionnaire français-italien et italien-français</t>
  </si>
  <si>
    <t>APOLLWNOIt APGONAtTIKA = Apolloni argonautica</t>
  </si>
  <si>
    <t>Carmina, Hesiodi</t>
  </si>
  <si>
    <t>Apollonius' Argonautica / classical poetry.</t>
  </si>
  <si>
    <t>Hesiodi carmina: Apollonii Argonautica. -- Musaei Carmen de ...</t>
  </si>
  <si>
    <t>56.9</t>
  </si>
  <si>
    <t>Hesiodi Carmina : Hesiod : Free Download, Borrow, and ...</t>
  </si>
  <si>
    <t>The Project Gutenberg E-text of Hesiodi Carmina, by Hesiod</t>
  </si>
  <si>
    <t>39.9</t>
  </si>
  <si>
    <t>Oeuvres complètes de Mgr Plantier</t>
  </si>
  <si>
    <t>Plantier</t>
  </si>
  <si>
    <t>Collected works of Mgr Plantier are primarily episcopal/theological writings.</t>
  </si>
  <si>
    <t>Oeuvres complètes de Mgr Plantier ...</t>
  </si>
  <si>
    <t>Seminario de agricultura y artes : Dirigido á los párrocos</t>
  </si>
  <si>
    <t>Agriculture and practical arts.</t>
  </si>
  <si>
    <t>Semanario de agricultura y artes dirigido a los parrocos ...</t>
  </si>
  <si>
    <t>Prensa agraria en la España de la ilustración : el seminario ...</t>
  </si>
  <si>
    <t>72.1</t>
  </si>
  <si>
    <t>Prensa agraria en la España de la Ilustración by Fernando ...</t>
  </si>
  <si>
    <t>Missionarius : Seu vir apostolicus in suis excursionibus</t>
  </si>
  <si>
    <t>Tiran, P. Jacobo</t>
  </si>
  <si>
    <t>Missionarius seu vir apostolicus is a missionary/pastoral manual.</t>
  </si>
  <si>
    <t>Missionarius seu vir apostolicus</t>
  </si>
  <si>
    <t>Pastoral / missionary theology</t>
  </si>
  <si>
    <t>El anticuario : Novela</t>
  </si>
  <si>
    <t>El anticuario - Walter Scott - Google BooksEl anticuario - Libro de Walter Scott: reseña, resumen y ...El Anticuario — Walter Scott: Resumen breve y las ideas ...El anticuario - Alba EditorialEl Anticuario - Walter Scott - Google BooksThe Antiquary - Wikipedia[PDF] El anticuario de Walter Scott () | 9788490650707 ...</t>
  </si>
  <si>
    <t>El Anticuario — Walter Scott: Resumen breve y las ideas ...</t>
  </si>
  <si>
    <t>82.1</t>
  </si>
  <si>
    <t>[PDF] El anticuario de Walter Scott () | 9788490650707 ...</t>
  </si>
  <si>
    <t>79.8</t>
  </si>
  <si>
    <t>Calchenmörterbuch : Ber englisches and Deutlchen Sprache</t>
  </si>
  <si>
    <t>Matthias</t>
  </si>
  <si>
    <t>Fachwörterbuch Physik - alphabetisch und thematisch geordnet</t>
  </si>
  <si>
    <t>52.6</t>
  </si>
  <si>
    <t>The resurrection of the body : the writings of F. Matthias Alexander</t>
  </si>
  <si>
    <t>Alexander, F. Matthias (Frederick Matthias), 1869-1955, author</t>
  </si>
  <si>
    <t>Erzberger, Matthias - Erlebnisse im Weltkrieg</t>
  </si>
  <si>
    <t>Erzberger, Matthias</t>
  </si>
  <si>
    <t>Flora : Ou une martyre a Rome</t>
  </si>
  <si>
    <t>Title suggests a martyr narrative/fiction; provisional literary classification.</t>
  </si>
  <si>
    <t>Flora, ou Une martyre à Rome. T. 1 et 2 · BiblioBase XIX ...</t>
  </si>
  <si>
    <t>73.2</t>
  </si>
  <si>
    <t>Notice bibliographique Flora ou Une martyre à Rome / trad de ...</t>
  </si>
  <si>
    <t>71.5</t>
  </si>
  <si>
    <t>Flore (mythologie) — Wikipédia</t>
  </si>
  <si>
    <t>49.3</t>
  </si>
  <si>
    <t>A history of the church in England : From the earliest period, to the re-establishment of the hierarchy in 1850</t>
  </si>
  <si>
    <t>A history of the Church in England is church history.</t>
  </si>
  <si>
    <t>A history of the church in England</t>
  </si>
  <si>
    <t>Church history</t>
  </si>
  <si>
    <t>Guide - indicateur : Des sanctuaires et lieux historiques de la terre - sainte</t>
  </si>
  <si>
    <t>Hamme, Le Frère Liévin de</t>
  </si>
  <si>
    <t>Guide-indicateur des sanctuaires et lieux historiques de la Terre-Sainte</t>
  </si>
  <si>
    <t>El sacerdote santificado en la administración del sacramento de la penitencia : Cartas</t>
  </si>
  <si>
    <t>Priestly administration of the sacrament of penance.</t>
  </si>
  <si>
    <t>El Sacerdote santificado en la administracion del sacramento ...</t>
  </si>
  <si>
    <t>EL SACERDOTE: LA OBRA DE LA SANTIFICACIÓN SACERDOTAL</t>
  </si>
  <si>
    <t>47.6</t>
  </si>
  <si>
    <t>L'anniversario della Immacolata discorso del sacerdote P. Francesco Pizzi</t>
  </si>
  <si>
    <t>Francesco Pizzi</t>
  </si>
  <si>
    <t>Recitationes : In elementa juris civil secundum ordinem institutionum</t>
  </si>
  <si>
    <t>Heineccii, Jo. Gottl.</t>
  </si>
  <si>
    <t>Elements of civil law.</t>
  </si>
  <si>
    <t>Recitationes in elementa juris civilis secundum ordinem ...</t>
  </si>
  <si>
    <t>Jo. Gottl. Heineccii Recitationes in elementa juris civilis ...</t>
  </si>
  <si>
    <t>88.9</t>
  </si>
  <si>
    <t>Io. Gottl. Heineccii iureconsulti ... Recitationes in ...</t>
  </si>
  <si>
    <t>Pathologie : Et clinique chirurgicales</t>
  </si>
  <si>
    <t>Fort, J. A.</t>
  </si>
  <si>
    <t>Pathology and surgical clinic is a medical work.</t>
  </si>
  <si>
    <t>Pathologie et clinique chirurgicales ...</t>
  </si>
  <si>
    <t>Medicine / surgery</t>
  </si>
  <si>
    <t>Lecons de clinique médicale</t>
  </si>
  <si>
    <t>Graves, R. J.</t>
  </si>
  <si>
    <t>Leçons de clinique médicale v. 1</t>
  </si>
  <si>
    <t>Leyes de reforma</t>
  </si>
  <si>
    <t>Obras de D. José Marchena</t>
  </si>
  <si>
    <t>Marchena, D. José</t>
  </si>
  <si>
    <t>Collected works of José Marchena; provisional literary placement.</t>
  </si>
  <si>
    <t>Obras literarias de D. José Marchena : (El abate Marchena) T</t>
  </si>
  <si>
    <t>90.6</t>
  </si>
  <si>
    <t>Obras literarias - José Marchena - Google Books</t>
  </si>
  <si>
    <t>Obras literarias de D. José Marchena. Tomo I</t>
  </si>
  <si>
    <t>89.7</t>
  </si>
  <si>
    <t>Manuel de matière médicale : De thérapeutique et de pharmacie</t>
  </si>
  <si>
    <t>Rouchardat, M.</t>
  </si>
  <si>
    <t>Manuel de matière médicale de thérapeutique et de pharmacie</t>
  </si>
  <si>
    <t>Nuovo vocabolario italiano - latino : Per uso delle scuole di gramatica</t>
  </si>
  <si>
    <t>An Italian-Latin vocabulary belongs to language studies.</t>
  </si>
  <si>
    <t>Nuovo vocabolario italiano-latino per uso delle scuole di grammatica, notabilmente accresciuto</t>
  </si>
  <si>
    <t>Linguistics / vocabulary</t>
  </si>
  <si>
    <t>Oeuvres de Condillac</t>
  </si>
  <si>
    <t>Condillac is a philosopher and these collected works belong primarily to philosophical sciences.</t>
  </si>
  <si>
    <t>Oeuvres de Condillac - Tome V</t>
  </si>
  <si>
    <t>Sallustii : Catilinaria et jugurthina bella</t>
  </si>
  <si>
    <t>Sallust's Catiline and Jugurthine wars are historical works.</t>
  </si>
  <si>
    <t>C. C. Sallustii Catilinaria et Jugurthina bella</t>
  </si>
  <si>
    <t>A copious greek grammar</t>
  </si>
  <si>
    <t>Matthiae, Augustus</t>
  </si>
  <si>
    <t>A copious Greek grammar</t>
  </si>
  <si>
    <t>A voyage to the eastern part of terra firma : Or the Spanish main is suth america</t>
  </si>
  <si>
    <t>Depons, F.</t>
  </si>
  <si>
    <t>A Voyage To The Eastern Part Of Terra Firma V1</t>
  </si>
  <si>
    <t>Opere di Francesco Albergati Capacelli</t>
  </si>
  <si>
    <t>Albergati, Francesco</t>
  </si>
  <si>
    <t>Albergati Capacelli was a dramatist/literary author; collected works are treated as Belles-lettres.</t>
  </si>
  <si>
    <t>Opere di Francesco Albergati Capacelli ...</t>
  </si>
  <si>
    <t>Drama / literary works</t>
  </si>
  <si>
    <t>Addmitamenta : Ad lectionis varietatem in pindari carminvm</t>
  </si>
  <si>
    <t>Variant readings in Pindar; philology.</t>
  </si>
  <si>
    <t>De Pindari carminis Nemei noni prooemio adnotatiunculae</t>
  </si>
  <si>
    <t>Leutsch, Ernst von, 1808-1887</t>
  </si>
  <si>
    <t>42.0</t>
  </si>
  <si>
    <t>Apollonii Rhodii Argonautica. Ad fidem librorum manuscriptorum et editionum antiquarum recensuit, integram lectionis varietatem et annotationes adiecit, scholia aucta et emendata indicesque locupletissimos addidit Augustus Wellauer. Volumen prius secundum 2</t>
  </si>
  <si>
    <t>39.8</t>
  </si>
  <si>
    <t>Sex. Avrel. Propertivs varietate lectionis et perpetva adnotatione illvstratvs</t>
  </si>
  <si>
    <t>Propertius, Sextus</t>
  </si>
  <si>
    <t>39.4</t>
  </si>
  <si>
    <t>Lettere del signor abate Pietro Metastasio</t>
  </si>
  <si>
    <t>Metastasio, Pietro</t>
  </si>
  <si>
    <t>Metastasio's letters belong to epistolary literature.</t>
  </si>
  <si>
    <t>Lettere del signor abate Pietro Metastasio. Tomo primo quinto</t>
  </si>
  <si>
    <t>Letters / epistolary</t>
  </si>
  <si>
    <t>Vies des hommes illustres de Plutarque</t>
  </si>
  <si>
    <t>Plutarch's Lives are biography.</t>
  </si>
  <si>
    <t>Modèles francais : Guide du jeune littérateur</t>
  </si>
  <si>
    <t>Browckaert, J.</t>
  </si>
  <si>
    <t>French literary models / guide for young writers.</t>
  </si>
  <si>
    <t>MODELES FRANCAIS recueillis d après le plan du Guide du Jeune ...</t>
  </si>
  <si>
    <t>Le guide du jeune littérateur - Joseph Broeckaert - Google Books</t>
  </si>
  <si>
    <t>36.9</t>
  </si>
  <si>
    <t>Le Guide du Jeune Litterateur : Boeckaert, J. J. : Free ...</t>
  </si>
  <si>
    <t>36.7</t>
  </si>
  <si>
    <t>Scriptores latini</t>
  </si>
  <si>
    <t>Propertii, Aurelii</t>
  </si>
  <si>
    <t>[Scriptores latini</t>
  </si>
  <si>
    <t>Revista general de legislación y jurisprudencia</t>
  </si>
  <si>
    <t>Manuel de pathologie : Et de clinique chirurgicales</t>
  </si>
  <si>
    <t>Jamain, A</t>
  </si>
  <si>
    <t>A manual of pathology and surgical clinic is medical.</t>
  </si>
  <si>
    <t>Manuel de pathologie et de clinique chirurgicales</t>
  </si>
  <si>
    <t>Colección de tratados : Sobre todos los conocimientos humanos</t>
  </si>
  <si>
    <t>General treatises on all branches of human knowledge; provisional encyclopedic/scientific placement.</t>
  </si>
  <si>
    <t>Colección completa de los tratados, convenciones ...</t>
  </si>
  <si>
    <t>Coleccion de los tratados, convenios y documentos ...</t>
  </si>
  <si>
    <t>Sermones del Ill.mo señor d. Juan Bautista Massillon</t>
  </si>
  <si>
    <t>Masillon, D. Juan Bautista</t>
  </si>
  <si>
    <t>Sermons of Massillon.</t>
  </si>
  <si>
    <t>Sermones del Illmo Señor D. Juan Bautista Massillon ...</t>
  </si>
  <si>
    <t>['web', 'No Hicimos Nada Por Los Perros Juan Carlos Boveri']</t>
  </si>
  <si>
    <t>Juan Carlos Boveri</t>
  </si>
  <si>
    <t>16.0</t>
  </si>
  <si>
    <t>Los tres locos del mundo: Cuatro retablos de farsa escénica ; La señora guapa</t>
  </si>
  <si>
    <t>Jacinto guapa</t>
  </si>
  <si>
    <t>15.6</t>
  </si>
  <si>
    <t>Lettres angoises: Ou histoire de miss Clarisse Harlove</t>
  </si>
  <si>
    <t>Clarissa Harlowe; epistolary novel.</t>
  </si>
  <si>
    <t>Lettres angloises, ou, Histoire de Miss Clarisse Harlove</t>
  </si>
  <si>
    <t>82.4</t>
  </si>
  <si>
    <t>Project MUSE - Lettres angloises ou histoire de Miss Clarisse ...</t>
  </si>
  <si>
    <t>64.6</t>
  </si>
  <si>
    <t>Clarisse Harlowe — Wikipédia</t>
  </si>
  <si>
    <t>58.1</t>
  </si>
  <si>
    <t>Elementos de hygiene : Ó del influxo de las cosas físicas y morales en el hombre, y medios de conservar la salud</t>
  </si>
  <si>
    <t>Tourtelle, Estevan</t>
  </si>
  <si>
    <t>Hygiene and health.</t>
  </si>
  <si>
    <t>Elementos de hygiene o del influxo de las cosas físicas ...</t>
  </si>
  <si>
    <t>94.9</t>
  </si>
  <si>
    <t>Élémens d'hygiène : ou, De l'enfluence des choses physiques ...</t>
  </si>
  <si>
    <t>31.8</t>
  </si>
  <si>
    <t>los elementos de la civilizacion y del caracter espanoles</t>
  </si>
  <si>
    <t>rafael altamera</t>
  </si>
  <si>
    <t>24.7</t>
  </si>
  <si>
    <t>Les metamorphoses : Ou l'ane d'or d'apulée</t>
  </si>
  <si>
    <t>Les metamorphoses, ou, L'ane d'or</t>
  </si>
  <si>
    <t>La casandra</t>
  </si>
  <si>
    <t>La Casandra is prose fiction.</t>
  </si>
  <si>
    <t>La Casandra;</t>
  </si>
  <si>
    <t>Maria Menzikoff y Fedor Dolgoruki : Historia Rusa</t>
  </si>
  <si>
    <t>Russian history.</t>
  </si>
  <si>
    <t>[Maria Menzikof y Fedor Dolgoruki : historia rusa sacada...</t>
  </si>
  <si>
    <t>Marie Menzikoff et Fedor Dolgorouki , histoire russe en forme ...</t>
  </si>
  <si>
    <t>Maria Menzikoff and Fedor Dolgoronki. A Russian Tale Founded ...</t>
  </si>
  <si>
    <t>53.5</t>
  </si>
  <si>
    <t>Carlos el Temerario : Ó Ana Eceierstein, hija de la niebla</t>
  </si>
  <si>
    <t>Carlos el Temerario. Ana de Geierstein, o la Hija de la ...</t>
  </si>
  <si>
    <t>Biblioteca Digital de la Comunidad de Madrid &gt; Carlos El ...</t>
  </si>
  <si>
    <t>71.1</t>
  </si>
  <si>
    <t>WALTER SCOTT, CARLOS EL TEMERARIO - Libros antiguos Laia</t>
  </si>
  <si>
    <t>The elements of medicine : Or a translation of the elementa medicinae brunonis</t>
  </si>
  <si>
    <t>The elements of medicine, or, A translation of the Elementa medicinae Brunonis</t>
  </si>
  <si>
    <t>Los comentarios de Cayo Julio Cesar</t>
  </si>
  <si>
    <t>Cayo Julio cesar</t>
  </si>
  <si>
    <t>Caesar's Commentaries are historical works.</t>
  </si>
  <si>
    <t>Los comentarios de Cayo Julio César T. 1</t>
  </si>
  <si>
    <t>Ancient history / memoirs</t>
  </si>
  <si>
    <t>Rob - Roy</t>
  </si>
  <si>
    <t>La religión cristiana</t>
  </si>
  <si>
    <t>Colonia</t>
  </si>
  <si>
    <t>Christian religion.</t>
  </si>
  <si>
    <t>La religión en la América colonial - Enciclopedia de la ...Evangelización y educación religiosa en América ColonialReligión en la época colonial | PDF | Science | Nueva españaReligión en la Época Colonial: Creencias y EvangelizaciónHistoria del cristianismo en Estados Unidos - Wikipedia, la ...El período colonial de América Latina fue mucho menos ...La Cristiandad en Tiempos de la Colonia - Prezi</t>
  </si>
  <si>
    <t>La Cristiandad en Tiempos de la Colonia - Prezi</t>
  </si>
  <si>
    <t>50.7</t>
  </si>
  <si>
    <t>Filosofía de la religión cristiana</t>
  </si>
  <si>
    <t>Nancey Murphy</t>
  </si>
  <si>
    <t>Ensayo sobre las costumbres : Y el espiritu de las naciones, y sobre los principales hechos de la historia</t>
  </si>
  <si>
    <t>Voltaire</t>
  </si>
  <si>
    <t>Ensayo sobre las costumbres y el espíritu de las naciones II</t>
  </si>
  <si>
    <t>Aventuras de Gil Blas de Santillana</t>
  </si>
  <si>
    <t>Lesage, M.</t>
  </si>
  <si>
    <t>Woodstock : Ó el caballero</t>
  </si>
  <si>
    <t>Woodstock, Ó, el Caballero</t>
  </si>
  <si>
    <t>El viagero universal : Ó noticia del mundo antiguo y nuevo</t>
  </si>
  <si>
    <t>El viajero universal is a geographical/travel description of the world.</t>
  </si>
  <si>
    <t>El viagero universal o Noticia del mundo antiguo y nuevo. Tomo V</t>
  </si>
  <si>
    <t>Geography / travel</t>
  </si>
  <si>
    <t>Synonymes francois</t>
  </si>
  <si>
    <t>Girard</t>
  </si>
  <si>
    <t>A dictionary of French synonyms belongs to language/lexicography.</t>
  </si>
  <si>
    <t>Synonymes françois</t>
  </si>
  <si>
    <t>Linguistics / lexicography</t>
  </si>
  <si>
    <t>Los puritanos de Escocia : Y el enano misterioso</t>
  </si>
  <si>
    <t>Walter Scott fiction (The Puritans of Scotland / The Black Dwarf).</t>
  </si>
  <si>
    <t>Los Puritanos de Escócia</t>
  </si>
  <si>
    <t>Sir Walter Scott</t>
  </si>
  <si>
    <t>67.1</t>
  </si>
  <si>
    <t>Ediciones perpihanesas de Walter Scott en castellano (1824 ...</t>
  </si>
  <si>
    <t>61.8</t>
  </si>
  <si>
    <t>El hoyo misterioso</t>
  </si>
  <si>
    <t>Lluch, Enric, 1949-</t>
  </si>
  <si>
    <t>47.3</t>
  </si>
  <si>
    <t>La nueva Clarisa : Historia verdadera</t>
  </si>
  <si>
    <t>Narrative title associated with Clarissa; provisional literary classification.</t>
  </si>
  <si>
    <t>La nueva clarisa : historia verdadera: cartas y ...</t>
  </si>
  <si>
    <t>Clarisa or the History of a young LAdy</t>
  </si>
  <si>
    <t>Samuel Richardson</t>
  </si>
  <si>
    <t>43.2</t>
  </si>
  <si>
    <t>Maailman Taiteen Historia</t>
  </si>
  <si>
    <t>E. H. Gombrich</t>
  </si>
  <si>
    <t>40.8</t>
  </si>
  <si>
    <t>Clara Harlowe : Novela</t>
  </si>
  <si>
    <t>Clara Harlowe</t>
  </si>
  <si>
    <t>uncertain</t>
  </si>
  <si>
    <t>Ilustracion y continuacion : Á la curia Filípica</t>
  </si>
  <si>
    <t>Dominguez Vicente, Joseph Manuel</t>
  </si>
  <si>
    <t>A continuation of Curia Filípica is a legal work.</t>
  </si>
  <si>
    <t>Ilustración y Continuación a la Curia Filípica de Juan de Hevia Bolaños...</t>
  </si>
  <si>
    <t>Civil / procedural law</t>
  </si>
  <si>
    <t>Historia universal</t>
  </si>
  <si>
    <t>Cantú, César</t>
  </si>
  <si>
    <t>Historia universal ..</t>
  </si>
  <si>
    <t>Nouveau dictionnaire : De sobrino francois, espagnol et latin</t>
  </si>
  <si>
    <t>Cormon, Francois</t>
  </si>
  <si>
    <t>A French-Spanish-Latin dictionary belongs to language/lexicography despite geographical appendices.</t>
  </si>
  <si>
    <t>Sobrino aumentado o Nuevo diccionario de las lenguas espanola, francesa y latina, con un diccionario abreviado de geografia, en donde se hallan los nombres de los reinos, de las ciudades, de los mares, y rios del mundo. Por Francisco Cormon .. Nouveau dictionnaire de Sobrino, françois, espagnol et latin, compose sur les meilleu</t>
  </si>
  <si>
    <t>Linguistics / dictionary</t>
  </si>
  <si>
    <t>Principios de matematica: Donde se enseña la especulativa con su aplicación a la dinámica, hydrodinámica, óptica, astronomía, geografía, gnomónica, arquitectura, perspectiva, y al calendario</t>
  </si>
  <si>
    <t>Nuovo metodo : Per apprendere agevolmente la lingua latina</t>
  </si>
  <si>
    <t>Method for learning Latin.</t>
  </si>
  <si>
    <t>Nuovo metodo per apprendere agevolmente la lingua latina ...</t>
  </si>
  <si>
    <t>Compendio del nuovo metodo per apprendere agevolmente la ...</t>
  </si>
  <si>
    <t>76.3</t>
  </si>
  <si>
    <t>Nuovo metodo per chitarra, Op. 6: Studio No. 1 in G Majornuovo metodo - Traduzione in inglese - esempi italiano ...Nuovo metodo per apprendere agevolmente la lingua latina ...EX_113_Bille_Nuovo_Metodo_Per_Contrabbasso_Parte_1Bille Nuovo Metodo Per Contrabbasso Completo Vol 1, 2, 3, 4 ...</t>
  </si>
  <si>
    <t>63.3</t>
  </si>
  <si>
    <t>El catolicismo : En presencia de sus disidentes</t>
  </si>
  <si>
    <t>Eyzaguirre, José Ignacio Victor</t>
  </si>
  <si>
    <t>El catolicismo en presencia de sus disidentes</t>
  </si>
  <si>
    <t>La scuola de' Miracoli</t>
  </si>
  <si>
    <t>La scuola de' Miracoli is a homiletic work on Christ's miracles.</t>
  </si>
  <si>
    <t>La scuola de' miracoli</t>
  </si>
  <si>
    <t>Homiletics / Christology</t>
  </si>
  <si>
    <t>Obras : Estudios del reinado de Felipe IV</t>
  </si>
  <si>
    <t>Cánovas del Castillo, A.</t>
  </si>
  <si>
    <t>Studies of the reign of Philip IV.</t>
  </si>
  <si>
    <t>OBRAS, ESTUDIOS DEL REINADO DE FELIPE IV, TOMO I</t>
  </si>
  <si>
    <t>Estudios del reinado de Felipe IV - Antonio Cánovas del ...</t>
  </si>
  <si>
    <t>88.3</t>
  </si>
  <si>
    <t>Obras, Vol. 1: Estudios del Reinado de Felipe IV; Revolución ...</t>
  </si>
  <si>
    <t>Obras de D. Severo Catalina</t>
  </si>
  <si>
    <t>Catalina, D. Severo</t>
  </si>
  <si>
    <t>Collected works of Severo Catalina; subject not specified, provisional literary placement.</t>
  </si>
  <si>
    <t>Obras de D. Severo Catalina. – transparenciasostenida.org</t>
  </si>
  <si>
    <t>Obras de D. Severo Catalina - Biblioteca ABEV</t>
  </si>
  <si>
    <t>90.7</t>
  </si>
  <si>
    <t>Obras de Catalina, Severo, 1832-1871 - Pag. 1</t>
  </si>
  <si>
    <t>Epístolas ó cartas de Marco Tulio Ciceron</t>
  </si>
  <si>
    <t>Epistolas Ó Cartas de Marco Tulio Ciceron, Vulgarmente Llamadas Familiares</t>
  </si>
  <si>
    <t>Línquiétude religieuse</t>
  </si>
  <si>
    <t>Bremond, Henri</t>
  </si>
  <si>
    <t>L'Inquiétude religieuse</t>
  </si>
  <si>
    <t>EtRIPIDOt : TRAGWDIAI = Euripides : Tragoediarum</t>
  </si>
  <si>
    <t>Tragedies of Euripides.</t>
  </si>
  <si>
    <t>Tragedy and after : Euripides, Shakespeare, Goethe</t>
  </si>
  <si>
    <t>Faas, Ekbert, 1938-</t>
  </si>
  <si>
    <t>61.5</t>
  </si>
  <si>
    <t>Euripides Las Troyanas Bilingue</t>
  </si>
  <si>
    <t>Eurípides</t>
  </si>
  <si>
    <t>Die Tmesis bei Euripides</t>
  </si>
  <si>
    <t>Georg Schilling</t>
  </si>
  <si>
    <t>58.9</t>
  </si>
  <si>
    <t>Sonetos póstumos</t>
  </si>
  <si>
    <t>Acaico, Ipandro</t>
  </si>
  <si>
    <t>Posthumous sonnets.</t>
  </si>
  <si>
    <t>Details for: Sonetos póstumos / › CDHRMA catalog</t>
  </si>
  <si>
    <t>Sonetos póstumos - Catalog - UW-Madison Libraries</t>
  </si>
  <si>
    <t>Sonetos Póstumos 1941 Ipandro Acaico | MercadoLibre</t>
  </si>
  <si>
    <t>Historia ecclesiastica : Veteris novique testamenti</t>
  </si>
  <si>
    <t>Alexandri, Natalis</t>
  </si>
  <si>
    <t>Historia ecclesiastica is church history, which Brunet places in History.</t>
  </si>
  <si>
    <t>Historia ecclesiastica Veteris Novique Testamenti</t>
  </si>
  <si>
    <t>Colección de Canones : Y de todos los concilios de la iglesia española</t>
  </si>
  <si>
    <t>Tejada y Ramiro, D. Juan</t>
  </si>
  <si>
    <t>A collection of canons and church councils belongs to canon law.</t>
  </si>
  <si>
    <t>Colección de cánones y de todos los concilios de la Iglesia de España y de ...</t>
  </si>
  <si>
    <t>Canon law / councils and canons</t>
  </si>
  <si>
    <t>Dictionarium</t>
  </si>
  <si>
    <t>Antonii, Aelii</t>
  </si>
  <si>
    <t>Dictionary; with title/author alone, treated as language/reference work.</t>
  </si>
  <si>
    <t>Dictionarium Aelii Antonii Nebrissensis</t>
  </si>
  <si>
    <t>Antonio de Nebrija</t>
  </si>
  <si>
    <t>86.9</t>
  </si>
  <si>
    <t>Biblioteca Virtual de Andalucía &gt; Dictionarium Aelii Antonii...</t>
  </si>
  <si>
    <t>79.5</t>
  </si>
  <si>
    <t>Dictionarium - Paracelsus - Google Books</t>
  </si>
  <si>
    <t>Diccionario de la lengua castellana</t>
  </si>
  <si>
    <t>Dictionary of the Spanish language.</t>
  </si>
  <si>
    <t>Real Academia Española</t>
  </si>
  <si>
    <t>68.0</t>
  </si>
  <si>
    <t>Real Academia Española Diccionario De La Lengua Española</t>
  </si>
  <si>
    <t>Exequias de la Lengua Castellana</t>
  </si>
  <si>
    <t>Don Juan Pablo forner</t>
  </si>
  <si>
    <t>48.7</t>
  </si>
  <si>
    <t>Control</t>
  </si>
  <si>
    <t>Resultado / criterio</t>
  </si>
  <si>
    <t>Total de registros únicos</t>
  </si>
  <si>
    <t>Filas con validación procedente ABC</t>
  </si>
  <si>
    <t>Filas procedentes D253</t>
  </si>
  <si>
    <t>IDs coincidentes en ambas fuentes</t>
  </si>
  <si>
    <t>824, 825</t>
  </si>
  <si>
    <t>Regla de solapamiento</t>
  </si>
  <si>
    <t>Conservar registro de D253 (validación más reciente de antiguos D)</t>
  </si>
  <si>
    <t>ID sin presencia en ninguno de los archivos</t>
  </si>
  <si>
    <t>153</t>
  </si>
  <si>
    <t>Rango de IDs observados</t>
  </si>
  <si>
    <t>1–825, excepto 153</t>
  </si>
  <si>
    <t>Integración</t>
  </si>
  <si>
    <t>No se realizó búsqueda externa ni se modificaron las decisiones humanas</t>
  </si>
  <si>
    <t>Grado de obra D253</t>
  </si>
  <si>
    <t>Columna AA de archivo D253 validado por humanos</t>
  </si>
  <si>
    <t>Grado de obra ABC</t>
  </si>
  <si>
    <t>Columna B de archivo ABC validado por humanos (grado de cotejo disponible)</t>
  </si>
  <si>
    <t>Brunet final D253</t>
  </si>
  <si>
    <t>Según AE: propuesta E o rama corregida AF; No determinable explícito</t>
  </si>
  <si>
    <t>Brunet final ABC</t>
  </si>
  <si>
    <t>Según U: corregido T o propuesta validada K</t>
  </si>
  <si>
    <t>URL principal</t>
  </si>
  <si>
    <t>Para D: URL manual si existe; si no opción 1. Para ABC: url_fuente</t>
  </si>
  <si>
    <t>Estructura</t>
  </si>
  <si>
    <t>Las 824 filas tienen exactamente las mismas 44 columnas</t>
  </si>
  <si>
    <t>Advertencia</t>
  </si>
  <si>
    <t>Brunet No determinable no se contabiliza como rama</t>
  </si>
  <si>
    <t>Nota</t>
  </si>
  <si>
    <t>El ID 153 no se añadió ni renumeró: hacerlo destruiría trazabilidad</t>
  </si>
  <si>
    <t>Catalog title</t>
  </si>
  <si>
    <t>Catalog author</t>
  </si>
  <si>
    <t>Candidate match</t>
  </si>
  <si>
    <t>Validation</t>
  </si>
  <si>
    <t>Validation note</t>
  </si>
  <si>
    <r>
      <rPr>
        <rFont val="Roboto"/>
        <color rgb="FF434343"/>
      </rPr>
      <t>La Photographie en Amerique, 3e ed. — Alphonse Liebert (</t>
    </r>
    <r>
      <rPr>
        <rFont val="Roboto"/>
        <color rgb="FF1155CC"/>
        <u/>
      </rPr>
      <t>Google Books</t>
    </r>
    <r>
      <rPr>
        <rFont val="Roboto"/>
        <color rgb="FF434343"/>
      </rPr>
      <t>)</t>
    </r>
  </si>
  <si>
    <t>C → A</t>
  </si>
  <si>
    <t>Orthographic variation in the catalog title; author and work correspond.</t>
  </si>
  <si>
    <r>
      <rPr>
        <rFont val="Roboto"/>
        <color rgb="FF434343"/>
      </rPr>
      <t>Animal chemistry — Justus von Liebig (</t>
    </r>
    <r>
      <rPr>
        <rFont val="Roboto"/>
        <color rgb="FF1155CC"/>
        <u/>
      </rPr>
      <t>OpenLibrary</t>
    </r>
    <r>
      <rPr>
        <rFont val="Roboto"/>
        <color rgb="FF434343"/>
      </rPr>
      <t>)</t>
    </r>
  </si>
  <si>
    <t>C→ A</t>
  </si>
  <si>
    <t>Exact title; “Baron Liebig” corresponds to Justus von Liebig.</t>
  </si>
  <si>
    <t>Parte práctica de botánica del caballero Cárlos Linneo...</t>
  </si>
  <si>
    <r>
      <rPr>
        <rFont val="Roboto"/>
        <color rgb="FF434343"/>
      </rPr>
      <t>Sistema de los vegetables... parte práctica de botánica del caballero Cárlos Linneo... — Carl Linnaeus (</t>
    </r>
    <r>
      <rPr>
        <rFont val="Roboto"/>
        <color rgb="FF1155CC"/>
        <u/>
      </rPr>
      <t>OpenLibrary</t>
    </r>
    <r>
      <rPr>
        <rFont val="Roboto"/>
        <color rgb="FF434343"/>
      </rPr>
      <t>)</t>
    </r>
  </si>
  <si>
    <t>C → B</t>
  </si>
  <si>
    <t>Historical and linguistic variants of the author's name (Cárlos Linneo / Carl Linnaeus) and a closely corresponding extended title support a probable identification of the work.</t>
  </si>
  <si>
    <t>—</t>
  </si>
  <si>
    <r>
      <rPr>
        <rFont val="Roboto"/>
        <color rgb="FF434343"/>
      </rPr>
      <t>Regula cleri — Jacob Planat (</t>
    </r>
    <r>
      <rPr>
        <rFont val="Roboto"/>
        <color rgb="FF1155CC"/>
        <u/>
      </rPr>
      <t>OpenLibrary</t>
    </r>
    <r>
      <rPr>
        <rFont val="Roboto"/>
        <color rgb="FF434343"/>
      </rPr>
      <t>)</t>
    </r>
  </si>
  <si>
    <t>C → C</t>
  </si>
  <si>
    <t>The title corresponds to the catalog entry, but the catalog does not identify an author. The attribution to Jacob Planat cannot therefore be independently confirmed from the original record</t>
  </si>
  <si>
    <t>La química del gusto y olfato: Manual del perfumador y fabricante de licores</t>
  </si>
  <si>
    <r>
      <rPr>
        <rFont val="Roboto"/>
        <color rgb="FF434343"/>
      </rPr>
      <t>La Química del gusto y del olfato... — Pallais (</t>
    </r>
    <r>
      <rPr>
        <rFont val="Roboto"/>
        <color rgb="FF1155CC"/>
        <u/>
      </rPr>
      <t>Google Books</t>
    </r>
    <r>
      <rPr>
        <rFont val="Roboto"/>
        <color rgb="FF434343"/>
      </rPr>
      <t>)</t>
    </r>
  </si>
  <si>
    <t>Author corresponds and the candidate is compatible, but the catalog uses an abbreviated/variant title.</t>
  </si>
  <si>
    <r>
      <rPr>
        <rFont val="Roboto"/>
        <color rgb="FF434343"/>
      </rPr>
      <t>Dictionnaire universel d'histoire naturelle... — Charles d’Orbigny (</t>
    </r>
    <r>
      <rPr>
        <rFont val="Roboto"/>
        <color rgb="FF1155CC"/>
        <u/>
      </rPr>
      <t>Internet Archive</t>
    </r>
    <r>
      <rPr>
        <rFont val="Roboto"/>
        <color rgb="FF434343"/>
      </rPr>
      <t>)</t>
    </r>
  </si>
  <si>
    <t>Exact or near-exact title, but the absence of an author in the catalog prevents a stronger identification.</t>
  </si>
  <si>
    <t>Céleste: A novel</t>
  </si>
  <si>
    <r>
      <rPr>
        <rFont val="Roboto"/>
        <color rgb="FF434343"/>
      </rPr>
      <t>Super-Celeste — MM Williams (</t>
    </r>
    <r>
      <rPr>
        <rFont val="Roboto"/>
        <color rgb="FF1155CC"/>
        <u/>
      </rPr>
      <t>Thrift books</t>
    </r>
    <r>
      <rPr>
        <rFont val="Roboto"/>
        <color rgb="FF434343"/>
      </rPr>
      <t>)</t>
    </r>
  </si>
  <si>
    <t>D → D</t>
  </si>
  <si>
    <t>Candidate differs substantially in both title and author; the record remains unverifiable.</t>
  </si>
</sst>
</file>

<file path=xl/styles.xml><?xml version="1.0" encoding="utf-8"?>
<styleSheet xmlns="http://schemas.openxmlformats.org/spreadsheetml/2006/main" xmlns:x14ac="http://schemas.microsoft.com/office/spreadsheetml/2009/9/ac" xmlns:mc="http://schemas.openxmlformats.org/markup-compatibility/2006">
  <fonts count="10">
    <font>
      <sz val="11.0"/>
      <color rgb="FF000000"/>
      <name val="Carlito"/>
      <scheme val="minor"/>
    </font>
    <font>
      <b/>
      <sz val="11.0"/>
      <color rgb="FFFFFFFF"/>
      <name val="Carlito"/>
    </font>
    <font>
      <color theme="1"/>
      <name val="Carlito"/>
      <scheme val="minor"/>
    </font>
    <font>
      <u/>
      <color rgb="FF0000FF"/>
    </font>
    <font>
      <b/>
      <color theme="1"/>
      <name val="Roboto"/>
    </font>
    <font>
      <color rgb="FF434343"/>
      <name val="Roboto"/>
    </font>
    <font>
      <u/>
      <color rgb="FF434343"/>
      <name val="Roboto"/>
    </font>
    <font>
      <u/>
      <color rgb="FF434343"/>
      <name val="Roboto"/>
    </font>
    <font>
      <u/>
      <color rgb="FF434343"/>
      <name val="Roboto"/>
    </font>
    <font>
      <color theme="1"/>
      <name val="Arial"/>
    </font>
  </fonts>
  <fills count="5">
    <fill>
      <patternFill patternType="none"/>
    </fill>
    <fill>
      <patternFill patternType="lightGray"/>
    </fill>
    <fill>
      <patternFill patternType="solid">
        <fgColor rgb="FF17324D"/>
        <bgColor rgb="FF17324D"/>
      </patternFill>
    </fill>
    <fill>
      <patternFill patternType="solid">
        <fgColor rgb="FFFFFFFF"/>
        <bgColor rgb="FFFFFFFF"/>
      </patternFill>
    </fill>
    <fill>
      <patternFill patternType="solid">
        <fgColor rgb="FFF6F8F9"/>
        <bgColor rgb="FFF6F8F9"/>
      </patternFill>
    </fill>
  </fills>
  <borders count="10">
    <border/>
    <border>
      <left style="thin">
        <color rgb="FF284E3F"/>
      </left>
      <right style="thin">
        <color rgb="FFFFFFFF"/>
      </right>
      <top style="thin">
        <color rgb="FFFFFFFF"/>
      </top>
      <bottom style="thin">
        <color rgb="FFFFFFFF"/>
      </bottom>
    </border>
    <border>
      <left style="thin">
        <color rgb="FFFFFFFF"/>
      </left>
      <right style="thin">
        <color rgb="FFFFFFFF"/>
      </right>
      <top style="thin">
        <color rgb="FFFFFFFF"/>
      </top>
      <bottom style="thin">
        <color rgb="FFFFFFFF"/>
      </bottom>
    </border>
    <border>
      <left style="thin">
        <color rgb="FFFFFFFF"/>
      </left>
      <right style="thin">
        <color rgb="FF284E3F"/>
      </right>
      <top style="thin">
        <color rgb="FFFFFFFF"/>
      </top>
      <bottom style="thin">
        <color rgb="FFFFFFFF"/>
      </bottom>
    </border>
    <border>
      <left style="thin">
        <color rgb="FF284E3F"/>
      </left>
      <right style="thin">
        <color rgb="FFF6F8F9"/>
      </right>
      <top style="thin">
        <color rgb="FFF6F8F9"/>
      </top>
      <bottom style="thin">
        <color rgb="FFF6F8F9"/>
      </bottom>
    </border>
    <border>
      <left style="thin">
        <color rgb="FFF6F8F9"/>
      </left>
      <right style="thin">
        <color rgb="FFF6F8F9"/>
      </right>
      <top style="thin">
        <color rgb="FFF6F8F9"/>
      </top>
      <bottom style="thin">
        <color rgb="FFF6F8F9"/>
      </bottom>
    </border>
    <border>
      <left style="thin">
        <color rgb="FFF6F8F9"/>
      </left>
      <right style="thin">
        <color rgb="FF284E3F"/>
      </right>
      <top style="thin">
        <color rgb="FFF6F8F9"/>
      </top>
      <bottom style="thin">
        <color rgb="FFF6F8F9"/>
      </bottom>
    </border>
    <border>
      <left style="thin">
        <color rgb="FF284E3F"/>
      </left>
      <right style="thin">
        <color rgb="FFFFFFFF"/>
      </right>
      <top style="thin">
        <color rgb="FFFFFFFF"/>
      </top>
      <bottom style="thin">
        <color rgb="FF284E3F"/>
      </bottom>
    </border>
    <border>
      <left style="thin">
        <color rgb="FFFFFFFF"/>
      </left>
      <right style="thin">
        <color rgb="FFFFFFFF"/>
      </right>
      <top style="thin">
        <color rgb="FFFFFFFF"/>
      </top>
      <bottom style="thin">
        <color rgb="FF284E3F"/>
      </bottom>
    </border>
    <border>
      <left style="thin">
        <color rgb="FFFFFFFF"/>
      </left>
      <right style="thin">
        <color rgb="FF284E3F"/>
      </right>
      <top style="thin">
        <color rgb="FFFFFFFF"/>
      </top>
      <bottom style="thin">
        <color rgb="FF284E3F"/>
      </bottom>
    </border>
  </borders>
  <cellStyleXfs count="1">
    <xf borderId="0" fillId="0" fontId="0" numFmtId="0" applyAlignment="1" applyFont="1"/>
  </cellStyleXfs>
  <cellXfs count="27">
    <xf borderId="0" fillId="0" fontId="0" numFmtId="0" xfId="0" applyAlignment="1" applyFont="1">
      <alignment readingOrder="0" shrinkToFit="0" vertical="bottom" wrapText="0"/>
    </xf>
    <xf borderId="0" fillId="2" fontId="1" numFmtId="0" xfId="0" applyAlignment="1" applyFill="1" applyFont="1">
      <alignment shrinkToFit="0" wrapText="0"/>
    </xf>
    <xf borderId="0" fillId="0" fontId="2" numFmtId="0" xfId="0" applyAlignment="1" applyFont="1">
      <alignment shrinkToFit="0" wrapText="0"/>
    </xf>
    <xf borderId="0" fillId="0" fontId="2" numFmtId="0" xfId="0" applyAlignment="1" applyFont="1">
      <alignment readingOrder="0" shrinkToFit="0" wrapText="0"/>
    </xf>
    <xf borderId="0" fillId="0" fontId="3" numFmtId="0" xfId="0" applyAlignment="1" applyFont="1">
      <alignment shrinkToFit="0" wrapText="0"/>
    </xf>
    <xf borderId="0" fillId="2" fontId="1" numFmtId="0" xfId="0" applyFill="1" applyFont="1"/>
    <xf borderId="0" fillId="0" fontId="2" numFmtId="0" xfId="0" applyFont="1"/>
    <xf borderId="0" fillId="0" fontId="4" numFmtId="0" xfId="0" applyAlignment="1" applyFont="1">
      <alignment horizontal="center" readingOrder="0" shrinkToFit="0" vertical="center" wrapText="0"/>
    </xf>
    <xf borderId="1" fillId="3" fontId="5" numFmtId="0" xfId="0" applyAlignment="1" applyBorder="1" applyFill="1" applyFont="1">
      <alignment shrinkToFit="0" vertical="center" wrapText="0"/>
    </xf>
    <xf borderId="2" fillId="3" fontId="5" numFmtId="0" xfId="0" applyAlignment="1" applyBorder="1" applyFill="1" applyFont="1">
      <alignment shrinkToFit="0" vertical="center" wrapText="0"/>
    </xf>
    <xf borderId="2" fillId="3" fontId="6" numFmtId="0" xfId="0" applyAlignment="1" applyBorder="1" applyFill="1" applyFont="1">
      <alignment readingOrder="0" shrinkToFit="0" vertical="center" wrapText="0"/>
    </xf>
    <xf borderId="2" fillId="3" fontId="5" numFmtId="0" xfId="0" applyAlignment="1" applyBorder="1" applyFill="1" applyFont="1">
      <alignment horizontal="center" readingOrder="0" shrinkToFit="0" vertical="center" wrapText="0"/>
    </xf>
    <xf borderId="3" fillId="3" fontId="5" numFmtId="0" xfId="0" applyAlignment="1" applyBorder="1" applyFill="1" applyFont="1">
      <alignment shrinkToFit="0" vertical="center" wrapText="0"/>
    </xf>
    <xf borderId="4" fillId="4" fontId="5" numFmtId="0" xfId="0" applyAlignment="1" applyBorder="1" applyFill="1" applyFont="1">
      <alignment shrinkToFit="0" vertical="center" wrapText="0"/>
    </xf>
    <xf borderId="5" fillId="4" fontId="5" numFmtId="0" xfId="0" applyAlignment="1" applyBorder="1" applyFill="1" applyFont="1">
      <alignment shrinkToFit="0" vertical="center" wrapText="0"/>
    </xf>
    <xf borderId="5" fillId="4" fontId="7" numFmtId="0" xfId="0" applyAlignment="1" applyBorder="1" applyFill="1" applyFont="1">
      <alignment readingOrder="0" shrinkToFit="0" vertical="center" wrapText="0"/>
    </xf>
    <xf borderId="5" fillId="4" fontId="5" numFmtId="0" xfId="0" applyAlignment="1" applyBorder="1" applyFill="1" applyFont="1">
      <alignment horizontal="center" readingOrder="0" shrinkToFit="0" vertical="center" wrapText="0"/>
    </xf>
    <xf borderId="6" fillId="4" fontId="5" numFmtId="0" xfId="0" applyAlignment="1" applyBorder="1" applyFill="1" applyFont="1">
      <alignment shrinkToFit="0" vertical="center" wrapText="0"/>
    </xf>
    <xf borderId="3" fillId="3" fontId="5" numFmtId="0" xfId="0" applyAlignment="1" applyBorder="1" applyFill="1" applyFont="1">
      <alignment readingOrder="0" shrinkToFit="0" vertical="center" wrapText="0"/>
    </xf>
    <xf borderId="4" fillId="4" fontId="5" numFmtId="0" xfId="0" applyAlignment="1" applyBorder="1" applyFill="1" applyFont="1">
      <alignment readingOrder="0" shrinkToFit="0" vertical="center" wrapText="0"/>
    </xf>
    <xf borderId="6" fillId="4" fontId="5" numFmtId="0" xfId="0" applyAlignment="1" applyBorder="1" applyFill="1" applyFont="1">
      <alignment readingOrder="0" shrinkToFit="0" vertical="center" wrapText="0"/>
    </xf>
    <xf borderId="7" fillId="3" fontId="5" numFmtId="0" xfId="0" applyAlignment="1" applyBorder="1" applyFill="1" applyFont="1">
      <alignment shrinkToFit="0" vertical="center" wrapText="0"/>
    </xf>
    <xf borderId="8" fillId="3" fontId="5" numFmtId="0" xfId="0" applyAlignment="1" applyBorder="1" applyFill="1" applyFont="1">
      <alignment shrinkToFit="0" vertical="center" wrapText="0"/>
    </xf>
    <xf borderId="8" fillId="3" fontId="8" numFmtId="0" xfId="0" applyAlignment="1" applyBorder="1" applyFill="1" applyFont="1">
      <alignment readingOrder="0" shrinkToFit="0" vertical="center" wrapText="0"/>
    </xf>
    <xf borderId="8" fillId="3" fontId="5" numFmtId="0" xfId="0" applyAlignment="1" applyBorder="1" applyFill="1" applyFont="1">
      <alignment horizontal="center" readingOrder="0" shrinkToFit="0" vertical="center" wrapText="0"/>
    </xf>
    <xf borderId="9" fillId="3" fontId="5" numFmtId="0" xfId="0" applyAlignment="1" applyBorder="1" applyFill="1" applyFont="1">
      <alignment shrinkToFit="0" vertical="center" wrapText="0"/>
    </xf>
    <xf borderId="0" fillId="0" fontId="9" numFmtId="0" xfId="0" applyAlignment="1" applyFont="1">
      <alignment vertical="bottom"/>
    </xf>
  </cellXfs>
  <cellStyles count="1">
    <cellStyle xfId="0" name="Normal" builtinId="0"/>
  </cellStyles>
  <dxfs count="5">
    <dxf>
      <font/>
      <fill>
        <patternFill patternType="none"/>
      </fill>
      <border/>
    </dxf>
    <dxf>
      <font/>
      <fill>
        <patternFill patternType="solid">
          <fgColor rgb="FF356854"/>
          <bgColor rgb="FF356854"/>
        </patternFill>
      </fill>
      <border/>
    </dxf>
    <dxf>
      <font/>
      <fill>
        <patternFill patternType="solid">
          <fgColor rgb="FFFFFFFF"/>
          <bgColor rgb="FFFFFFFF"/>
        </patternFill>
      </fill>
      <border/>
    </dxf>
    <dxf>
      <font/>
      <fill>
        <patternFill patternType="solid">
          <fgColor rgb="FFF6F8F9"/>
          <bgColor rgb="FFF6F8F9"/>
        </patternFill>
      </fill>
      <border/>
    </dxf>
    <dxf>
      <border>
        <left style="thin">
          <color rgb="FF356854"/>
        </left>
        <right style="thin">
          <color rgb="FF356854"/>
        </right>
        <top style="thin">
          <color rgb="FF356854"/>
        </top>
        <bottom style="thin">
          <color rgb="FF356854"/>
        </bottom>
      </border>
    </dxf>
  </dxfs>
  <tableStyles count="1">
    <tableStyle count="4" pivot="0" name="Table 3.1-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E8" displayName="Tabla_1" name="Tabla_1" id="1">
  <tableColumns count="5">
    <tableColumn name="Catalog title" id="1"/>
    <tableColumn name="Catalog author" id="2"/>
    <tableColumn name="Candidate match" id="3"/>
    <tableColumn name="Validation" id="4"/>
    <tableColumn name="Validation note" id="5"/>
  </tableColumns>
  <tableStyleInfo name="Table 3.1-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books.google.com.mx/books?id=JmA0jgEACAAJ" TargetMode="External"/><Relationship Id="rId2" Type="http://schemas.openxmlformats.org/officeDocument/2006/relationships/hyperlink" Target="https://openlibrary.org/works/OL1470679W/Animal_chemistry" TargetMode="External"/><Relationship Id="rId3" Type="http://schemas.openxmlformats.org/officeDocument/2006/relationships/hyperlink" Target="https://openlibrary.org/works/OL44665419W/Sistema_de_los_vegetables%C6%A1_resumen_de_la_parte_pr%C3%A1ctica_de_bot%C3%A1nica_del_caballero_C%C3%A1rlos_Linneo_que_" TargetMode="External"/><Relationship Id="rId4" Type="http://schemas.openxmlformats.org/officeDocument/2006/relationships/hyperlink" Target="https://openlibrary.org/works/OL12508695W/Regula_cleri%5D(https://openlibrary.org/works/OL12508695W/Regula_cleri" TargetMode="External"/><Relationship Id="rId10" Type="http://schemas.openxmlformats.org/officeDocument/2006/relationships/table" Target="../tables/table1.xml"/><Relationship Id="rId5" Type="http://schemas.openxmlformats.org/officeDocument/2006/relationships/hyperlink" Target="https://books.google.com.mx/books?id=x2drQwAACAAJ" TargetMode="External"/><Relationship Id="rId6" Type="http://schemas.openxmlformats.org/officeDocument/2006/relationships/hyperlink" Target="https://archive.org/details/b30454888_0007" TargetMode="External"/><Relationship Id="rId7" Type="http://schemas.openxmlformats.org/officeDocument/2006/relationships/hyperlink" Target="https://www.thriftbooks.com/w/celeste-a-novel/55005456/" TargetMode="External"/><Relationship Id="rId8"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4.0"/>
    <col customWidth="1" min="2" max="3" width="43.0"/>
    <col customWidth="1" min="4" max="8" width="22.0"/>
    <col customWidth="1" min="9" max="31" width="23.0"/>
  </cols>
  <sheetData>
    <row r="1" ht="36.0"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row>
    <row r="2">
      <c r="A2" s="2">
        <v>1.0</v>
      </c>
      <c r="B2" s="2" t="s">
        <v>31</v>
      </c>
      <c r="C2" s="2" t="s">
        <v>32</v>
      </c>
      <c r="D2" s="2" t="s">
        <v>33</v>
      </c>
      <c r="E2" s="2" t="s">
        <v>34</v>
      </c>
      <c r="F2" s="3" t="s">
        <v>35</v>
      </c>
      <c r="G2" s="2"/>
      <c r="H2" s="2" t="s">
        <v>34</v>
      </c>
      <c r="I2" s="2" t="s">
        <v>36</v>
      </c>
      <c r="J2" s="2" t="s">
        <v>37</v>
      </c>
      <c r="K2" s="4" t="str">
        <f>HYPERLINK("http://books.google.com.mx/books?id=nbfEGwAACAAJ&amp;dq=245+jours+:+Autour+du+monde+Cavaglio,+E.&amp;hl=&amp;as_pt=BOOKS&amp;source=gbs_api","Abrir enlace")</f>
        <v>Abrir enlace</v>
      </c>
      <c r="L2" s="2" t="s">
        <v>38</v>
      </c>
      <c r="M2" s="2"/>
      <c r="N2" s="2" t="s">
        <v>39</v>
      </c>
      <c r="O2" s="2"/>
      <c r="P2" s="4" t="str">
        <f>HYPERLINK("http://books.google.com.mx/books?id=nbfEGwAACAAJ&amp;dq=245+jours+:+Autour+du+monde+Cavaglio,+E.&amp;hl=&amp;as_pt=BOOKS&amp;source=gbs_api","Abrir enlace")</f>
        <v>Abrir enlace</v>
      </c>
      <c r="Q2" s="2"/>
      <c r="R2" s="2"/>
      <c r="S2" s="2"/>
      <c r="T2" s="2"/>
      <c r="U2" s="2"/>
      <c r="V2" s="2"/>
      <c r="W2" s="2"/>
      <c r="X2" s="2"/>
      <c r="Y2" s="2"/>
      <c r="Z2" s="2"/>
      <c r="AA2" s="2" t="s">
        <v>40</v>
      </c>
      <c r="AB2" s="2" t="s">
        <v>41</v>
      </c>
      <c r="AC2" s="2"/>
      <c r="AD2" s="2"/>
      <c r="AE2" s="2"/>
    </row>
    <row r="3">
      <c r="A3" s="2">
        <v>2.0</v>
      </c>
      <c r="B3" s="2" t="s">
        <v>42</v>
      </c>
      <c r="C3" s="2" t="s">
        <v>43</v>
      </c>
      <c r="D3" s="2" t="s">
        <v>33</v>
      </c>
      <c r="E3" s="2" t="s">
        <v>34</v>
      </c>
      <c r="F3" s="3" t="s">
        <v>35</v>
      </c>
      <c r="G3" s="2"/>
      <c r="H3" s="2" t="s">
        <v>34</v>
      </c>
      <c r="I3" s="2" t="s">
        <v>36</v>
      </c>
      <c r="J3" s="2" t="s">
        <v>37</v>
      </c>
      <c r="K3" s="4" t="str">
        <f>HYPERLINK("https://openlibrary.org/works/OL24867555W","Abrir enlace")</f>
        <v>Abrir enlace</v>
      </c>
      <c r="L3" s="2" t="s">
        <v>44</v>
      </c>
      <c r="M3" s="2"/>
      <c r="N3" s="2" t="s">
        <v>45</v>
      </c>
      <c r="O3" s="2"/>
      <c r="P3" s="4" t="str">
        <f>HYPERLINK("https://openlibrary.org/works/OL24867555W","Abrir enlace")</f>
        <v>Abrir enlace</v>
      </c>
      <c r="Q3" s="2"/>
      <c r="R3" s="2"/>
      <c r="S3" s="2"/>
      <c r="T3" s="2"/>
      <c r="U3" s="2"/>
      <c r="V3" s="2"/>
      <c r="W3" s="2"/>
      <c r="X3" s="2"/>
      <c r="Y3" s="2"/>
      <c r="Z3" s="2"/>
      <c r="AA3" s="2" t="s">
        <v>46</v>
      </c>
      <c r="AB3" s="2" t="s">
        <v>41</v>
      </c>
      <c r="AC3" s="2"/>
      <c r="AD3" s="2"/>
      <c r="AE3" s="2"/>
    </row>
    <row r="4">
      <c r="A4" s="2">
        <v>3.0</v>
      </c>
      <c r="B4" s="2" t="s">
        <v>47</v>
      </c>
      <c r="C4" s="2" t="s">
        <v>48</v>
      </c>
      <c r="D4" s="2" t="s">
        <v>49</v>
      </c>
      <c r="E4" s="2" t="s">
        <v>34</v>
      </c>
      <c r="F4" s="3" t="s">
        <v>35</v>
      </c>
      <c r="G4" s="2"/>
      <c r="H4" s="2" t="s">
        <v>34</v>
      </c>
      <c r="I4" s="2" t="s">
        <v>36</v>
      </c>
      <c r="J4" s="2" t="s">
        <v>37</v>
      </c>
      <c r="K4" s="4" t="str">
        <f>HYPERLINK("http://books.google.com.mx/books?id=SUM8AQAAMAAJ&amp;dq=Le+histo+3+Tacito,+Cornelio&amp;hl=&amp;as_pt=BOOKS&amp;source=gbs_api","Abrir enlace")</f>
        <v>Abrir enlace</v>
      </c>
      <c r="L4" s="2" t="s">
        <v>50</v>
      </c>
      <c r="M4" s="2"/>
      <c r="N4" s="2" t="s">
        <v>39</v>
      </c>
      <c r="O4" s="2"/>
      <c r="P4" s="4" t="str">
        <f>HYPERLINK("http://books.google.com.mx/books?id=SUM8AQAAMAAJ&amp;dq=Le+histo+3+Tacito,+Cornelio&amp;hl=&amp;as_pt=BOOKS&amp;source=gbs_api","Abrir enlace")</f>
        <v>Abrir enlace</v>
      </c>
      <c r="Q4" s="2"/>
      <c r="R4" s="2"/>
      <c r="S4" s="2"/>
      <c r="T4" s="2"/>
      <c r="U4" s="2"/>
      <c r="V4" s="2"/>
      <c r="W4" s="2"/>
      <c r="X4" s="2"/>
      <c r="Y4" s="2"/>
      <c r="Z4" s="2"/>
      <c r="AA4" s="2" t="s">
        <v>51</v>
      </c>
      <c r="AB4" s="2" t="s">
        <v>41</v>
      </c>
      <c r="AC4" s="2"/>
      <c r="AD4" s="2"/>
      <c r="AE4" s="2"/>
    </row>
    <row r="5">
      <c r="A5" s="2">
        <v>4.0</v>
      </c>
      <c r="B5" s="2" t="s">
        <v>52</v>
      </c>
      <c r="C5" s="2"/>
      <c r="D5" s="2" t="s">
        <v>49</v>
      </c>
      <c r="E5" s="2" t="s">
        <v>34</v>
      </c>
      <c r="F5" s="3" t="s">
        <v>35</v>
      </c>
      <c r="G5" s="2"/>
      <c r="H5" s="2" t="s">
        <v>34</v>
      </c>
      <c r="I5" s="2" t="s">
        <v>36</v>
      </c>
      <c r="J5" s="2" t="s">
        <v>53</v>
      </c>
      <c r="K5" s="4" t="str">
        <f>HYPERLINK("https://archive.org/details/thucydides0002char_m0a1","Abrir enlace")</f>
        <v>Abrir enlace</v>
      </c>
      <c r="L5" s="2" t="s">
        <v>52</v>
      </c>
      <c r="M5" s="2"/>
      <c r="N5" s="2" t="s">
        <v>54</v>
      </c>
      <c r="O5" s="2"/>
      <c r="P5" s="4" t="str">
        <f>HYPERLINK("https://archive.org/details/thucydides0002char_m0a1","Abrir enlace")</f>
        <v>Abrir enlace</v>
      </c>
      <c r="Q5" s="2"/>
      <c r="R5" s="2"/>
      <c r="S5" s="2"/>
      <c r="T5" s="2"/>
      <c r="U5" s="2"/>
      <c r="V5" s="2"/>
      <c r="W5" s="2"/>
      <c r="X5" s="2"/>
      <c r="Y5" s="2"/>
      <c r="Z5" s="2"/>
      <c r="AA5" s="2" t="s">
        <v>46</v>
      </c>
      <c r="AB5" s="2" t="s">
        <v>55</v>
      </c>
      <c r="AC5" s="2"/>
      <c r="AD5" s="2"/>
      <c r="AE5" s="2"/>
    </row>
    <row r="6">
      <c r="A6" s="2">
        <v>5.0</v>
      </c>
      <c r="B6" s="2" t="s">
        <v>56</v>
      </c>
      <c r="C6" s="2" t="s">
        <v>57</v>
      </c>
      <c r="D6" s="2" t="s">
        <v>33</v>
      </c>
      <c r="E6" s="2" t="s">
        <v>34</v>
      </c>
      <c r="F6" s="3" t="s">
        <v>35</v>
      </c>
      <c r="G6" s="2"/>
      <c r="H6" s="2" t="s">
        <v>34</v>
      </c>
      <c r="I6" s="2" t="s">
        <v>36</v>
      </c>
      <c r="J6" s="2" t="s">
        <v>58</v>
      </c>
      <c r="K6" s="4" t="str">
        <f>HYPERLINK("https://play.google.com/store/books/details?id=HmFOAAAAcAAJ&amp;source=gbs_api","Abrir enlace")</f>
        <v>Abrir enlace</v>
      </c>
      <c r="L6" s="2" t="s">
        <v>59</v>
      </c>
      <c r="M6" s="2"/>
      <c r="N6" s="2" t="s">
        <v>39</v>
      </c>
      <c r="O6" s="2"/>
      <c r="P6" s="4" t="str">
        <f>HYPERLINK("https://play.google.com/store/books/details?id=HmFOAAAAcAAJ&amp;source=gbs_api","Abrir enlace")</f>
        <v>Abrir enlace</v>
      </c>
      <c r="Q6" s="2"/>
      <c r="R6" s="2"/>
      <c r="S6" s="2"/>
      <c r="T6" s="2"/>
      <c r="U6" s="2"/>
      <c r="V6" s="2"/>
      <c r="W6" s="2"/>
      <c r="X6" s="2"/>
      <c r="Y6" s="2"/>
      <c r="Z6" s="2"/>
      <c r="AA6" s="2" t="s">
        <v>60</v>
      </c>
      <c r="AB6" s="2" t="s">
        <v>61</v>
      </c>
      <c r="AC6" s="2"/>
      <c r="AD6" s="2"/>
      <c r="AE6" s="2"/>
    </row>
    <row r="7">
      <c r="A7" s="2">
        <v>6.0</v>
      </c>
      <c r="B7" s="2" t="s">
        <v>62</v>
      </c>
      <c r="C7" s="2" t="s">
        <v>63</v>
      </c>
      <c r="D7" s="2" t="s">
        <v>33</v>
      </c>
      <c r="E7" s="2" t="s">
        <v>64</v>
      </c>
      <c r="F7" s="3" t="s">
        <v>35</v>
      </c>
      <c r="G7" s="2"/>
      <c r="H7" s="2" t="s">
        <v>64</v>
      </c>
      <c r="I7" s="2" t="s">
        <v>36</v>
      </c>
      <c r="J7" s="2" t="s">
        <v>37</v>
      </c>
      <c r="K7" s="4" t="str">
        <f>HYPERLINK("https://openlibrary.org/works/OL36428025W","Abrir enlace")</f>
        <v>Abrir enlace</v>
      </c>
      <c r="L7" s="2" t="s">
        <v>65</v>
      </c>
      <c r="M7" s="2"/>
      <c r="N7" s="2" t="s">
        <v>45</v>
      </c>
      <c r="O7" s="2"/>
      <c r="P7" s="4" t="str">
        <f>HYPERLINK("https://openlibrary.org/works/OL36428025W","Abrir enlace")</f>
        <v>Abrir enlace</v>
      </c>
      <c r="Q7" s="2"/>
      <c r="R7" s="2"/>
      <c r="S7" s="2"/>
      <c r="T7" s="2"/>
      <c r="U7" s="2"/>
      <c r="V7" s="2"/>
      <c r="W7" s="2"/>
      <c r="X7" s="2"/>
      <c r="Y7" s="2"/>
      <c r="Z7" s="2"/>
      <c r="AA7" s="2" t="s">
        <v>66</v>
      </c>
      <c r="AB7" s="2" t="s">
        <v>67</v>
      </c>
      <c r="AC7" s="2"/>
      <c r="AD7" s="2"/>
      <c r="AE7" s="2"/>
    </row>
    <row r="8">
      <c r="A8" s="2">
        <v>7.0</v>
      </c>
      <c r="B8" s="2" t="s">
        <v>68</v>
      </c>
      <c r="C8" s="2" t="s">
        <v>69</v>
      </c>
      <c r="D8" s="2" t="s">
        <v>33</v>
      </c>
      <c r="E8" s="2" t="s">
        <v>70</v>
      </c>
      <c r="F8" s="3" t="s">
        <v>35</v>
      </c>
      <c r="G8" s="2"/>
      <c r="H8" s="2" t="s">
        <v>70</v>
      </c>
      <c r="I8" s="2" t="s">
        <v>36</v>
      </c>
      <c r="J8" s="2" t="s">
        <v>37</v>
      </c>
      <c r="K8" s="4" t="str">
        <f>HYPERLINK("http://books.google.com.mx/books?id=JmA0jgEACAAJ&amp;dq=La+photagraphie+en+am%C3%A9rique&amp;hl=&amp;as_pt=BOOKS&amp;source=gbs_api","Abrir enlace")</f>
        <v>Abrir enlace</v>
      </c>
      <c r="L8" s="2" t="s">
        <v>71</v>
      </c>
      <c r="M8" s="2"/>
      <c r="N8" s="2" t="s">
        <v>39</v>
      </c>
      <c r="O8" s="2"/>
      <c r="P8" s="4" t="str">
        <f>HYPERLINK("http://books.google.com.mx/books?id=JmA0jgEACAAJ&amp;dq=La+photagraphie+en+am%C3%A9rique&amp;hl=&amp;as_pt=BOOKS&amp;source=gbs_api","Abrir enlace")</f>
        <v>Abrir enlace</v>
      </c>
      <c r="Q8" s="2"/>
      <c r="R8" s="2"/>
      <c r="S8" s="2"/>
      <c r="T8" s="2"/>
      <c r="U8" s="2"/>
      <c r="V8" s="2"/>
      <c r="W8" s="2"/>
      <c r="X8" s="2"/>
      <c r="Y8" s="2"/>
      <c r="Z8" s="2"/>
      <c r="AA8" s="2" t="s">
        <v>40</v>
      </c>
      <c r="AB8" s="2" t="s">
        <v>72</v>
      </c>
      <c r="AC8" s="2"/>
      <c r="AD8" s="2"/>
      <c r="AE8" s="2"/>
    </row>
    <row r="9">
      <c r="A9" s="2">
        <v>8.0</v>
      </c>
      <c r="B9" s="2" t="s">
        <v>73</v>
      </c>
      <c r="C9" s="2" t="s">
        <v>74</v>
      </c>
      <c r="D9" s="2" t="s">
        <v>33</v>
      </c>
      <c r="E9" s="2" t="s">
        <v>64</v>
      </c>
      <c r="F9" s="3" t="s">
        <v>35</v>
      </c>
      <c r="G9" s="2"/>
      <c r="H9" s="2" t="s">
        <v>64</v>
      </c>
      <c r="I9" s="2" t="s">
        <v>36</v>
      </c>
      <c r="J9" s="2" t="s">
        <v>37</v>
      </c>
      <c r="K9" s="4" t="str">
        <f>HYPERLINK("https://archive.org/details/felice-bellotti-ed.-apollonio-rodio.-gli-argonauti-1873","Abrir enlace")</f>
        <v>Abrir enlace</v>
      </c>
      <c r="L9" s="2" t="s">
        <v>75</v>
      </c>
      <c r="M9" s="2"/>
      <c r="N9" s="2" t="s">
        <v>54</v>
      </c>
      <c r="O9" s="2"/>
      <c r="P9" s="4" t="str">
        <f>HYPERLINK("https://archive.org/details/felice-bellotti-ed.-apollonio-rodio.-gli-argonauti-1873","Abrir enlace")</f>
        <v>Abrir enlace</v>
      </c>
      <c r="Q9" s="2"/>
      <c r="R9" s="2"/>
      <c r="S9" s="2"/>
      <c r="T9" s="2"/>
      <c r="U9" s="2"/>
      <c r="V9" s="2"/>
      <c r="W9" s="2"/>
      <c r="X9" s="2"/>
      <c r="Y9" s="2"/>
      <c r="Z9" s="2"/>
      <c r="AA9" s="2" t="s">
        <v>46</v>
      </c>
      <c r="AB9" s="2" t="s">
        <v>67</v>
      </c>
      <c r="AC9" s="2"/>
      <c r="AD9" s="2"/>
      <c r="AE9" s="2"/>
    </row>
    <row r="10">
      <c r="A10" s="2">
        <v>9.0</v>
      </c>
      <c r="B10" s="2" t="s">
        <v>76</v>
      </c>
      <c r="C10" s="2" t="s">
        <v>77</v>
      </c>
      <c r="D10" s="2" t="s">
        <v>33</v>
      </c>
      <c r="E10" s="2" t="s">
        <v>64</v>
      </c>
      <c r="F10" s="3" t="s">
        <v>35</v>
      </c>
      <c r="G10" s="2"/>
      <c r="H10" s="2" t="s">
        <v>64</v>
      </c>
      <c r="I10" s="2" t="s">
        <v>36</v>
      </c>
      <c r="J10" s="2" t="s">
        <v>78</v>
      </c>
      <c r="K10" s="4" t="str">
        <f>HYPERLINK("http://books.google.com.mx/books?id=HISCjwEACAAJ&amp;dq=Waverley+novels&amp;hl=&amp;as_pt=BOOKS&amp;source=gbs_api","Abrir enlace")</f>
        <v>Abrir enlace</v>
      </c>
      <c r="L10" s="2" t="s">
        <v>79</v>
      </c>
      <c r="M10" s="2"/>
      <c r="N10" s="2" t="s">
        <v>39</v>
      </c>
      <c r="O10" s="2"/>
      <c r="P10" s="4" t="str">
        <f>HYPERLINK("http://books.google.com.mx/books?id=HISCjwEACAAJ&amp;dq=Waverley+novels&amp;hl=&amp;as_pt=BOOKS&amp;source=gbs_api","Abrir enlace")</f>
        <v>Abrir enlace</v>
      </c>
      <c r="Q10" s="2"/>
      <c r="R10" s="2"/>
      <c r="S10" s="2"/>
      <c r="T10" s="2"/>
      <c r="U10" s="2"/>
      <c r="V10" s="2"/>
      <c r="W10" s="2"/>
      <c r="X10" s="2"/>
      <c r="Y10" s="2"/>
      <c r="Z10" s="2"/>
      <c r="AA10" s="2" t="s">
        <v>66</v>
      </c>
      <c r="AB10" s="2" t="s">
        <v>80</v>
      </c>
      <c r="AC10" s="2"/>
      <c r="AD10" s="2"/>
      <c r="AE10" s="2"/>
    </row>
    <row r="11">
      <c r="A11" s="2">
        <v>10.0</v>
      </c>
      <c r="B11" s="2" t="s">
        <v>81</v>
      </c>
      <c r="C11" s="2"/>
      <c r="D11" s="2" t="s">
        <v>33</v>
      </c>
      <c r="E11" s="2" t="s">
        <v>64</v>
      </c>
      <c r="F11" s="3" t="s">
        <v>35</v>
      </c>
      <c r="G11" s="2"/>
      <c r="H11" s="2" t="s">
        <v>64</v>
      </c>
      <c r="I11" s="2" t="s">
        <v>36</v>
      </c>
      <c r="J11" s="2" t="s">
        <v>37</v>
      </c>
      <c r="K11" s="4" t="str">
        <f>HYPERLINK("http://books.google.com.mx/books?id=tQZlHQAACAAJ&amp;dq=The+adventures+of+Tkeodore&amp;hl=&amp;as_pt=BOOKS&amp;source=gbs_api","Abrir enlace")</f>
        <v>Abrir enlace</v>
      </c>
      <c r="L11" s="2" t="s">
        <v>82</v>
      </c>
      <c r="M11" s="2"/>
      <c r="N11" s="2" t="s">
        <v>39</v>
      </c>
      <c r="O11" s="2"/>
      <c r="P11" s="4" t="str">
        <f>HYPERLINK("http://books.google.com.mx/books?id=tQZlHQAACAAJ&amp;dq=The+adventures+of+Tkeodore&amp;hl=&amp;as_pt=BOOKS&amp;source=gbs_api","Abrir enlace")</f>
        <v>Abrir enlace</v>
      </c>
      <c r="Q11" s="2"/>
      <c r="R11" s="2"/>
      <c r="S11" s="2"/>
      <c r="T11" s="2"/>
      <c r="U11" s="2"/>
      <c r="V11" s="2"/>
      <c r="W11" s="2"/>
      <c r="X11" s="2"/>
      <c r="Y11" s="2"/>
      <c r="Z11" s="2"/>
      <c r="AA11" s="2" t="s">
        <v>46</v>
      </c>
      <c r="AB11" s="2" t="s">
        <v>67</v>
      </c>
      <c r="AC11" s="2"/>
      <c r="AD11" s="2"/>
      <c r="AE11" s="2"/>
    </row>
    <row r="12">
      <c r="A12" s="2">
        <v>11.0</v>
      </c>
      <c r="B12" s="2" t="s">
        <v>83</v>
      </c>
      <c r="C12" s="2" t="s">
        <v>84</v>
      </c>
      <c r="D12" s="2" t="s">
        <v>33</v>
      </c>
      <c r="E12" s="2" t="s">
        <v>70</v>
      </c>
      <c r="F12" s="3" t="s">
        <v>35</v>
      </c>
      <c r="G12" s="2"/>
      <c r="H12" s="2" t="s">
        <v>70</v>
      </c>
      <c r="I12" s="2" t="s">
        <v>36</v>
      </c>
      <c r="J12" s="2" t="s">
        <v>37</v>
      </c>
      <c r="K12" s="4" t="str">
        <f>HYPERLINK("https://openlibrary.org/works/OL1470679W","Abrir enlace")</f>
        <v>Abrir enlace</v>
      </c>
      <c r="L12" s="2" t="s">
        <v>83</v>
      </c>
      <c r="M12" s="2"/>
      <c r="N12" s="2" t="s">
        <v>45</v>
      </c>
      <c r="O12" s="2"/>
      <c r="P12" s="4" t="str">
        <f>HYPERLINK("https://openlibrary.org/works/OL1470679W","Abrir enlace")</f>
        <v>Abrir enlace</v>
      </c>
      <c r="Q12" s="2"/>
      <c r="R12" s="2"/>
      <c r="S12" s="2"/>
      <c r="T12" s="2"/>
      <c r="U12" s="2"/>
      <c r="V12" s="2"/>
      <c r="W12" s="2"/>
      <c r="X12" s="2"/>
      <c r="Y12" s="2"/>
      <c r="Z12" s="2"/>
      <c r="AA12" s="2" t="s">
        <v>66</v>
      </c>
      <c r="AB12" s="2" t="s">
        <v>72</v>
      </c>
      <c r="AC12" s="2"/>
      <c r="AD12" s="2"/>
      <c r="AE12" s="2"/>
    </row>
    <row r="13">
      <c r="A13" s="2">
        <v>12.0</v>
      </c>
      <c r="B13" s="2" t="s">
        <v>85</v>
      </c>
      <c r="C13" s="2" t="s">
        <v>86</v>
      </c>
      <c r="D13" s="2" t="s">
        <v>33</v>
      </c>
      <c r="E13" s="2" t="s">
        <v>34</v>
      </c>
      <c r="F13" s="3" t="s">
        <v>35</v>
      </c>
      <c r="G13" s="2"/>
      <c r="H13" s="2" t="s">
        <v>34</v>
      </c>
      <c r="I13" s="2" t="s">
        <v>36</v>
      </c>
      <c r="J13" s="2" t="s">
        <v>37</v>
      </c>
      <c r="K13" s="4" t="str">
        <f t="shared" ref="K13:K15" si="1">HYPERLINK("http://books.google.com.mx/books?id=yEbjngEACAAJ&amp;dq=ricerche+storiche+e+critiche+su+le+cause+dei+ferguson+adamo&amp;hl=&amp;as_pt=BOOKS&amp;source=gbs_api","Abrir enlace")</f>
        <v>Abrir enlace</v>
      </c>
      <c r="L13" s="2" t="s">
        <v>87</v>
      </c>
      <c r="M13" s="2"/>
      <c r="N13" s="2" t="s">
        <v>39</v>
      </c>
      <c r="O13" s="2"/>
      <c r="P13" s="4" t="str">
        <f t="shared" ref="P13:P15" si="2">HYPERLINK("http://books.google.com.mx/books?id=yEbjngEACAAJ&amp;dq=ricerche+storiche+e+critiche+su+le+cause+dei+ferguson+adamo&amp;hl=&amp;as_pt=BOOKS&amp;source=gbs_api","Abrir enlace")</f>
        <v>Abrir enlace</v>
      </c>
      <c r="Q13" s="2"/>
      <c r="R13" s="2"/>
      <c r="S13" s="2"/>
      <c r="T13" s="2"/>
      <c r="U13" s="2"/>
      <c r="V13" s="2"/>
      <c r="W13" s="2"/>
      <c r="X13" s="2"/>
      <c r="Y13" s="2"/>
      <c r="Z13" s="2"/>
      <c r="AA13" s="2" t="s">
        <v>60</v>
      </c>
      <c r="AB13" s="2" t="s">
        <v>41</v>
      </c>
      <c r="AC13" s="2"/>
      <c r="AD13" s="2"/>
      <c r="AE13" s="2"/>
    </row>
    <row r="14">
      <c r="A14" s="2">
        <v>13.0</v>
      </c>
      <c r="B14" s="2" t="s">
        <v>85</v>
      </c>
      <c r="C14" s="2" t="s">
        <v>86</v>
      </c>
      <c r="D14" s="2" t="s">
        <v>33</v>
      </c>
      <c r="E14" s="2" t="s">
        <v>34</v>
      </c>
      <c r="F14" s="3" t="s">
        <v>35</v>
      </c>
      <c r="G14" s="2"/>
      <c r="H14" s="2" t="s">
        <v>34</v>
      </c>
      <c r="I14" s="2" t="s">
        <v>36</v>
      </c>
      <c r="J14" s="2" t="s">
        <v>37</v>
      </c>
      <c r="K14" s="4" t="str">
        <f t="shared" si="1"/>
        <v>Abrir enlace</v>
      </c>
      <c r="L14" s="2" t="s">
        <v>87</v>
      </c>
      <c r="M14" s="2"/>
      <c r="N14" s="2" t="s">
        <v>39</v>
      </c>
      <c r="O14" s="2"/>
      <c r="P14" s="4" t="str">
        <f t="shared" si="2"/>
        <v>Abrir enlace</v>
      </c>
      <c r="Q14" s="2"/>
      <c r="R14" s="2"/>
      <c r="S14" s="2"/>
      <c r="T14" s="2"/>
      <c r="U14" s="2"/>
      <c r="V14" s="2"/>
      <c r="W14" s="2"/>
      <c r="X14" s="2"/>
      <c r="Y14" s="2"/>
      <c r="Z14" s="2"/>
      <c r="AA14" s="2" t="s">
        <v>60</v>
      </c>
      <c r="AB14" s="2" t="s">
        <v>41</v>
      </c>
      <c r="AC14" s="2"/>
      <c r="AD14" s="2"/>
      <c r="AE14" s="2"/>
    </row>
    <row r="15">
      <c r="A15" s="2">
        <v>14.0</v>
      </c>
      <c r="B15" s="2" t="s">
        <v>85</v>
      </c>
      <c r="C15" s="2" t="s">
        <v>86</v>
      </c>
      <c r="D15" s="2" t="s">
        <v>33</v>
      </c>
      <c r="E15" s="2" t="s">
        <v>34</v>
      </c>
      <c r="F15" s="3" t="s">
        <v>35</v>
      </c>
      <c r="G15" s="2"/>
      <c r="H15" s="2" t="s">
        <v>34</v>
      </c>
      <c r="I15" s="2" t="s">
        <v>36</v>
      </c>
      <c r="J15" s="2" t="s">
        <v>37</v>
      </c>
      <c r="K15" s="4" t="str">
        <f t="shared" si="1"/>
        <v>Abrir enlace</v>
      </c>
      <c r="L15" s="2" t="s">
        <v>87</v>
      </c>
      <c r="M15" s="2"/>
      <c r="N15" s="2" t="s">
        <v>39</v>
      </c>
      <c r="O15" s="2"/>
      <c r="P15" s="4" t="str">
        <f t="shared" si="2"/>
        <v>Abrir enlace</v>
      </c>
      <c r="Q15" s="2"/>
      <c r="R15" s="2"/>
      <c r="S15" s="2"/>
      <c r="T15" s="2"/>
      <c r="U15" s="2"/>
      <c r="V15" s="2"/>
      <c r="W15" s="2"/>
      <c r="X15" s="2"/>
      <c r="Y15" s="2"/>
      <c r="Z15" s="2"/>
      <c r="AA15" s="2" t="s">
        <v>60</v>
      </c>
      <c r="AB15" s="2" t="s">
        <v>41</v>
      </c>
      <c r="AC15" s="2"/>
      <c r="AD15" s="2"/>
      <c r="AE15" s="2"/>
    </row>
    <row r="16">
      <c r="A16" s="2">
        <v>15.0</v>
      </c>
      <c r="B16" s="2" t="s">
        <v>88</v>
      </c>
      <c r="C16" s="2" t="s">
        <v>86</v>
      </c>
      <c r="D16" s="2" t="s">
        <v>33</v>
      </c>
      <c r="E16" s="2" t="s">
        <v>34</v>
      </c>
      <c r="F16" s="2" t="s">
        <v>35</v>
      </c>
      <c r="G16" s="2"/>
      <c r="H16" s="2" t="s">
        <v>34</v>
      </c>
      <c r="I16" s="2" t="s">
        <v>36</v>
      </c>
      <c r="J16" s="2" t="s">
        <v>89</v>
      </c>
      <c r="K16" s="4" t="str">
        <f>HYPERLINK("https://www.beweb.chiesacattolica.it/benilibrari/libro/30110317/Ricerche+storiche+e+critiche+su+le+cause+dei+progressi+e+del+decadimento+della+Repubblica+Romana;+le+quali+servono+a"&amp;"+compiere+la+Storia+di+Rollin+e+Crevier.+Opera+di+Adamo+Ferguson+tradotta+dal+francese.+Tomo+1.+[-8.].+7","Abrir enlace")</f>
        <v>Abrir enlace</v>
      </c>
      <c r="L16" s="2" t="s">
        <v>90</v>
      </c>
      <c r="M16" s="2"/>
      <c r="N16" s="2" t="s">
        <v>91</v>
      </c>
      <c r="O16" s="2" t="s">
        <v>92</v>
      </c>
      <c r="P16" s="4" t="str">
        <f>HYPERLINK("https://www.beweb.chiesacattolica.it/benilibrari/libro/30110317/Ricerche+storiche+e+critiche+su+le+cause+dei+progressi+e+del+decadimento+della+Repubblica+Romana;+le+quali+servono+a"&amp;"+compiere+la+Storia+di+Rollin+e+Crevier.+Opera+di+Adamo+Ferguson+tradotta+dal+francese.+Tomo+1.+[-8.].+7","Abrir enlace")</f>
        <v>Abrir enlace</v>
      </c>
      <c r="Q16" s="2" t="s">
        <v>93</v>
      </c>
      <c r="R16" s="2"/>
      <c r="S16" s="2" t="s">
        <v>91</v>
      </c>
      <c r="T16" s="2" t="s">
        <v>94</v>
      </c>
      <c r="U16" s="4" t="str">
        <f>HYPERLINK("https://www.biblio.com/book/ricerche-storiche-e-critiche-ferguson-adamo/d/920054442","Abrir enlace")</f>
        <v>Abrir enlace</v>
      </c>
      <c r="V16" s="2" t="s">
        <v>95</v>
      </c>
      <c r="W16" s="2"/>
      <c r="X16" s="2" t="s">
        <v>91</v>
      </c>
      <c r="Y16" s="2" t="s">
        <v>96</v>
      </c>
      <c r="Z16" s="4" t="str">
        <f>HYPERLINK("https://www.ebay.co.uk/itm/167624308174","Abrir enlace")</f>
        <v>Abrir enlace</v>
      </c>
      <c r="AA16" s="2"/>
      <c r="AB16" s="2"/>
      <c r="AC16" s="2"/>
      <c r="AD16" s="2"/>
      <c r="AE16" s="2"/>
    </row>
    <row r="17">
      <c r="A17" s="2">
        <v>16.0</v>
      </c>
      <c r="B17" s="2" t="s">
        <v>85</v>
      </c>
      <c r="C17" s="2" t="s">
        <v>86</v>
      </c>
      <c r="D17" s="2" t="s">
        <v>33</v>
      </c>
      <c r="E17" s="2" t="s">
        <v>34</v>
      </c>
      <c r="F17" s="3" t="s">
        <v>35</v>
      </c>
      <c r="G17" s="2"/>
      <c r="H17" s="2" t="s">
        <v>34</v>
      </c>
      <c r="I17" s="2" t="s">
        <v>36</v>
      </c>
      <c r="J17" s="2" t="s">
        <v>37</v>
      </c>
      <c r="K17" s="4" t="str">
        <f t="shared" ref="K17:K20" si="3">HYPERLINK("http://books.google.com.mx/books?id=yEbjngEACAAJ&amp;dq=ricerche+storiche+e+critiche+su+le+cause+dei+ferguson+adamo&amp;hl=&amp;as_pt=BOOKS&amp;source=gbs_api","Abrir enlace")</f>
        <v>Abrir enlace</v>
      </c>
      <c r="L17" s="2" t="s">
        <v>87</v>
      </c>
      <c r="M17" s="2"/>
      <c r="N17" s="2" t="s">
        <v>39</v>
      </c>
      <c r="O17" s="2"/>
      <c r="P17" s="4" t="str">
        <f t="shared" ref="P17:P20" si="4">HYPERLINK("http://books.google.com.mx/books?id=yEbjngEACAAJ&amp;dq=ricerche+storiche+e+critiche+su+le+cause+dei+ferguson+adamo&amp;hl=&amp;as_pt=BOOKS&amp;source=gbs_api","Abrir enlace")</f>
        <v>Abrir enlace</v>
      </c>
      <c r="Q17" s="2"/>
      <c r="R17" s="2"/>
      <c r="S17" s="2"/>
      <c r="T17" s="2"/>
      <c r="U17" s="2"/>
      <c r="V17" s="2"/>
      <c r="W17" s="2"/>
      <c r="X17" s="2"/>
      <c r="Y17" s="2"/>
      <c r="Z17" s="2"/>
      <c r="AA17" s="2" t="s">
        <v>60</v>
      </c>
      <c r="AB17" s="2" t="s">
        <v>41</v>
      </c>
      <c r="AC17" s="2"/>
      <c r="AD17" s="2"/>
      <c r="AE17" s="2"/>
    </row>
    <row r="18">
      <c r="A18" s="2">
        <v>17.0</v>
      </c>
      <c r="B18" s="2" t="s">
        <v>85</v>
      </c>
      <c r="C18" s="2" t="s">
        <v>86</v>
      </c>
      <c r="D18" s="2" t="s">
        <v>33</v>
      </c>
      <c r="E18" s="2" t="s">
        <v>34</v>
      </c>
      <c r="F18" s="3" t="s">
        <v>35</v>
      </c>
      <c r="G18" s="2"/>
      <c r="H18" s="2" t="s">
        <v>34</v>
      </c>
      <c r="I18" s="2" t="s">
        <v>36</v>
      </c>
      <c r="J18" s="2" t="s">
        <v>37</v>
      </c>
      <c r="K18" s="4" t="str">
        <f t="shared" si="3"/>
        <v>Abrir enlace</v>
      </c>
      <c r="L18" s="2" t="s">
        <v>87</v>
      </c>
      <c r="M18" s="2"/>
      <c r="N18" s="2" t="s">
        <v>39</v>
      </c>
      <c r="O18" s="2"/>
      <c r="P18" s="4" t="str">
        <f t="shared" si="4"/>
        <v>Abrir enlace</v>
      </c>
      <c r="Q18" s="2"/>
      <c r="R18" s="2"/>
      <c r="S18" s="2"/>
      <c r="T18" s="2"/>
      <c r="U18" s="2"/>
      <c r="V18" s="2"/>
      <c r="W18" s="2"/>
      <c r="X18" s="2"/>
      <c r="Y18" s="2"/>
      <c r="Z18" s="2"/>
      <c r="AA18" s="2" t="s">
        <v>60</v>
      </c>
      <c r="AB18" s="2" t="s">
        <v>41</v>
      </c>
      <c r="AC18" s="2"/>
      <c r="AD18" s="2"/>
      <c r="AE18" s="2"/>
    </row>
    <row r="19">
      <c r="A19" s="2">
        <v>18.0</v>
      </c>
      <c r="B19" s="2" t="s">
        <v>85</v>
      </c>
      <c r="C19" s="2" t="s">
        <v>86</v>
      </c>
      <c r="D19" s="2" t="s">
        <v>33</v>
      </c>
      <c r="E19" s="2" t="s">
        <v>34</v>
      </c>
      <c r="F19" s="3" t="s">
        <v>35</v>
      </c>
      <c r="G19" s="2"/>
      <c r="H19" s="2" t="s">
        <v>34</v>
      </c>
      <c r="I19" s="2" t="s">
        <v>36</v>
      </c>
      <c r="J19" s="2" t="s">
        <v>37</v>
      </c>
      <c r="K19" s="4" t="str">
        <f t="shared" si="3"/>
        <v>Abrir enlace</v>
      </c>
      <c r="L19" s="2" t="s">
        <v>87</v>
      </c>
      <c r="M19" s="2"/>
      <c r="N19" s="2" t="s">
        <v>39</v>
      </c>
      <c r="O19" s="2"/>
      <c r="P19" s="4" t="str">
        <f t="shared" si="4"/>
        <v>Abrir enlace</v>
      </c>
      <c r="Q19" s="2"/>
      <c r="R19" s="2"/>
      <c r="S19" s="2"/>
      <c r="T19" s="2"/>
      <c r="U19" s="2"/>
      <c r="V19" s="2"/>
      <c r="W19" s="2"/>
      <c r="X19" s="2"/>
      <c r="Y19" s="2"/>
      <c r="Z19" s="2"/>
      <c r="AA19" s="2" t="s">
        <v>60</v>
      </c>
      <c r="AB19" s="2" t="s">
        <v>41</v>
      </c>
      <c r="AC19" s="2"/>
      <c r="AD19" s="2"/>
      <c r="AE19" s="2"/>
    </row>
    <row r="20">
      <c r="A20" s="2">
        <v>19.0</v>
      </c>
      <c r="B20" s="2" t="s">
        <v>85</v>
      </c>
      <c r="C20" s="2" t="s">
        <v>86</v>
      </c>
      <c r="D20" s="2" t="s">
        <v>33</v>
      </c>
      <c r="E20" s="2" t="s">
        <v>34</v>
      </c>
      <c r="F20" s="3" t="s">
        <v>35</v>
      </c>
      <c r="G20" s="2"/>
      <c r="H20" s="2" t="s">
        <v>34</v>
      </c>
      <c r="I20" s="2" t="s">
        <v>36</v>
      </c>
      <c r="J20" s="2" t="s">
        <v>37</v>
      </c>
      <c r="K20" s="4" t="str">
        <f t="shared" si="3"/>
        <v>Abrir enlace</v>
      </c>
      <c r="L20" s="2" t="s">
        <v>87</v>
      </c>
      <c r="M20" s="2"/>
      <c r="N20" s="2" t="s">
        <v>39</v>
      </c>
      <c r="O20" s="2"/>
      <c r="P20" s="4" t="str">
        <f t="shared" si="4"/>
        <v>Abrir enlace</v>
      </c>
      <c r="Q20" s="2"/>
      <c r="R20" s="2"/>
      <c r="S20" s="2"/>
      <c r="T20" s="2"/>
      <c r="U20" s="2"/>
      <c r="V20" s="2"/>
      <c r="W20" s="2"/>
      <c r="X20" s="2"/>
      <c r="Y20" s="2"/>
      <c r="Z20" s="2"/>
      <c r="AA20" s="2" t="s">
        <v>60</v>
      </c>
      <c r="AB20" s="2" t="s">
        <v>41</v>
      </c>
      <c r="AC20" s="2"/>
      <c r="AD20" s="2"/>
      <c r="AE20" s="2"/>
    </row>
    <row r="21" ht="15.75" customHeight="1">
      <c r="A21" s="2">
        <v>20.0</v>
      </c>
      <c r="B21" s="2" t="s">
        <v>97</v>
      </c>
      <c r="C21" s="2" t="s">
        <v>98</v>
      </c>
      <c r="D21" s="2" t="s">
        <v>99</v>
      </c>
      <c r="E21" s="2" t="s">
        <v>64</v>
      </c>
      <c r="F21" s="2" t="s">
        <v>35</v>
      </c>
      <c r="G21" s="2"/>
      <c r="H21" s="2" t="s">
        <v>64</v>
      </c>
      <c r="I21" s="2" t="s">
        <v>36</v>
      </c>
      <c r="J21" s="2" t="s">
        <v>100</v>
      </c>
      <c r="K21" s="4" t="str">
        <f>HYPERLINK("https://www.thriftbooks.com/w/celeste-a-novel/55005456/","Abrir enlace")</f>
        <v>Abrir enlace</v>
      </c>
      <c r="L21" s="2" t="s">
        <v>101</v>
      </c>
      <c r="M21" s="2"/>
      <c r="N21" s="2" t="s">
        <v>91</v>
      </c>
      <c r="O21" s="2" t="s">
        <v>102</v>
      </c>
      <c r="P21" s="4" t="str">
        <f>HYPERLINK("https://www.thriftbooks.com/w/celeste-a-novel/55005456/","Abrir enlace")</f>
        <v>Abrir enlace</v>
      </c>
      <c r="Q21" s="2" t="s">
        <v>103</v>
      </c>
      <c r="R21" s="2"/>
      <c r="S21" s="2" t="s">
        <v>91</v>
      </c>
      <c r="T21" s="2" t="s">
        <v>104</v>
      </c>
      <c r="U21" s="4" t="str">
        <f>HYPERLINK("https://books.google.com/books/about/The_Ghost_of_the_Mary_Celeste.html?id=8Wo7AAAAQBAJ","Abrir enlace")</f>
        <v>Abrir enlace</v>
      </c>
      <c r="V21" s="2" t="s">
        <v>105</v>
      </c>
      <c r="W21" s="2" t="s">
        <v>106</v>
      </c>
      <c r="X21" s="2" t="s">
        <v>45</v>
      </c>
      <c r="Y21" s="2" t="s">
        <v>107</v>
      </c>
      <c r="Z21" s="4" t="str">
        <f>HYPERLINK("https://openlibrary.org/works/OL19546793W","Abrir enlace")</f>
        <v>Abrir enlace</v>
      </c>
      <c r="AA21" s="2"/>
      <c r="AB21" s="2"/>
      <c r="AC21" s="2"/>
      <c r="AD21" s="2"/>
      <c r="AE21" s="2"/>
    </row>
    <row r="22" ht="15.75" customHeight="1">
      <c r="A22" s="2">
        <v>21.0</v>
      </c>
      <c r="B22" s="2" t="s">
        <v>108</v>
      </c>
      <c r="C22" s="2" t="s">
        <v>109</v>
      </c>
      <c r="D22" s="2" t="s">
        <v>33</v>
      </c>
      <c r="E22" s="2" t="s">
        <v>64</v>
      </c>
      <c r="F22" s="3" t="s">
        <v>35</v>
      </c>
      <c r="G22" s="2"/>
      <c r="H22" s="2" t="s">
        <v>64</v>
      </c>
      <c r="I22" s="2" t="s">
        <v>36</v>
      </c>
      <c r="J22" s="2" t="s">
        <v>37</v>
      </c>
      <c r="K22" s="4" t="str">
        <f>HYPERLINK("http://books.google.com.mx/books?id=jpm8oQEACAAJ&amp;dq=Armelle+Du+Cl%C3%A9sieux,+Achille&amp;hl=&amp;as_pt=BOOKS&amp;source=gbs_api","Abrir enlace")</f>
        <v>Abrir enlace</v>
      </c>
      <c r="L22" s="2" t="s">
        <v>108</v>
      </c>
      <c r="M22" s="2"/>
      <c r="N22" s="2" t="s">
        <v>39</v>
      </c>
      <c r="O22" s="2"/>
      <c r="P22" s="4" t="str">
        <f>HYPERLINK("http://books.google.com.mx/books?id=jpm8oQEACAAJ&amp;dq=Armelle+Du+Cl%C3%A9sieux,+Achille&amp;hl=&amp;as_pt=BOOKS&amp;source=gbs_api","Abrir enlace")</f>
        <v>Abrir enlace</v>
      </c>
      <c r="Q22" s="2"/>
      <c r="R22" s="2"/>
      <c r="S22" s="2"/>
      <c r="T22" s="2"/>
      <c r="U22" s="2"/>
      <c r="V22" s="2"/>
      <c r="W22" s="2"/>
      <c r="X22" s="2"/>
      <c r="Y22" s="2"/>
      <c r="Z22" s="2"/>
      <c r="AA22" s="2" t="s">
        <v>40</v>
      </c>
      <c r="AB22" s="2" t="s">
        <v>67</v>
      </c>
      <c r="AC22" s="2"/>
      <c r="AD22" s="2"/>
      <c r="AE22" s="2"/>
    </row>
    <row r="23" ht="15.75" customHeight="1">
      <c r="A23" s="2">
        <v>22.0</v>
      </c>
      <c r="B23" s="2" t="s">
        <v>110</v>
      </c>
      <c r="C23" s="2" t="s">
        <v>111</v>
      </c>
      <c r="D23" s="2" t="s">
        <v>33</v>
      </c>
      <c r="E23" s="2" t="s">
        <v>112</v>
      </c>
      <c r="F23" s="3" t="s">
        <v>35</v>
      </c>
      <c r="G23" s="2"/>
      <c r="H23" s="2" t="s">
        <v>112</v>
      </c>
      <c r="I23" s="2" t="s">
        <v>36</v>
      </c>
      <c r="J23" s="2" t="s">
        <v>37</v>
      </c>
      <c r="K23" s="4" t="str">
        <f>HYPERLINK("http://books.google.com.mx/books?id=CM1dAQAACAAJ&amp;dq=El+mes+de+animas+:+Crisol+divino+Ojea+y+M%C3%A1rquez,+Santiago&amp;hl=&amp;as_pt=BOOKS&amp;source=gbs_api","Abrir enlace")</f>
        <v>Abrir enlace</v>
      </c>
      <c r="L23" s="2" t="s">
        <v>113</v>
      </c>
      <c r="M23" s="2"/>
      <c r="N23" s="2" t="s">
        <v>39</v>
      </c>
      <c r="O23" s="2"/>
      <c r="P23" s="4" t="str">
        <f>HYPERLINK("http://books.google.com.mx/books?id=CM1dAQAACAAJ&amp;dq=El+mes+de+animas+:+Crisol+divino+Ojea+y+M%C3%A1rquez,+Santiago&amp;hl=&amp;as_pt=BOOKS&amp;source=gbs_api","Abrir enlace")</f>
        <v>Abrir enlace</v>
      </c>
      <c r="Q23" s="2"/>
      <c r="R23" s="2"/>
      <c r="S23" s="2"/>
      <c r="T23" s="2"/>
      <c r="U23" s="2"/>
      <c r="V23" s="2"/>
      <c r="W23" s="2"/>
      <c r="X23" s="2"/>
      <c r="Y23" s="2"/>
      <c r="Z23" s="2"/>
      <c r="AA23" s="2" t="s">
        <v>51</v>
      </c>
      <c r="AB23" s="2" t="s">
        <v>114</v>
      </c>
      <c r="AC23" s="2"/>
      <c r="AD23" s="2"/>
      <c r="AE23" s="2"/>
    </row>
    <row r="24" ht="15.75" customHeight="1">
      <c r="A24" s="2">
        <v>23.0</v>
      </c>
      <c r="B24" s="2" t="s">
        <v>115</v>
      </c>
      <c r="C24" s="2" t="s">
        <v>116</v>
      </c>
      <c r="D24" s="2" t="s">
        <v>33</v>
      </c>
      <c r="E24" s="2" t="s">
        <v>34</v>
      </c>
      <c r="F24" s="3" t="s">
        <v>35</v>
      </c>
      <c r="G24" s="2"/>
      <c r="H24" s="2" t="s">
        <v>34</v>
      </c>
      <c r="I24" s="2" t="s">
        <v>36</v>
      </c>
      <c r="J24" s="2" t="s">
        <v>37</v>
      </c>
      <c r="K24" s="4" t="str">
        <f>HYPERLINK("http://books.google.com.mx/books?id=3AOvzQEACAAJ&amp;dq=M%C3%A9moires+de+Madame+Roland+Mayer,+Charles+Auguste&amp;hl=&amp;as_pt=BOOKS&amp;source=gbs_api","Abrir enlace")</f>
        <v>Abrir enlace</v>
      </c>
      <c r="L24" s="2" t="s">
        <v>117</v>
      </c>
      <c r="M24" s="2"/>
      <c r="N24" s="2" t="s">
        <v>39</v>
      </c>
      <c r="O24" s="2"/>
      <c r="P24" s="4" t="str">
        <f>HYPERLINK("http://books.google.com.mx/books?id=3AOvzQEACAAJ&amp;dq=M%C3%A9moires+de+Madame+Roland+Mayer,+Charles+Auguste&amp;hl=&amp;as_pt=BOOKS&amp;source=gbs_api","Abrir enlace")</f>
        <v>Abrir enlace</v>
      </c>
      <c r="Q24" s="2"/>
      <c r="R24" s="2"/>
      <c r="S24" s="2"/>
      <c r="T24" s="2"/>
      <c r="U24" s="2"/>
      <c r="V24" s="2"/>
      <c r="W24" s="2"/>
      <c r="X24" s="2"/>
      <c r="Y24" s="2"/>
      <c r="Z24" s="2"/>
      <c r="AA24" s="2" t="s">
        <v>40</v>
      </c>
      <c r="AB24" s="2" t="s">
        <v>41</v>
      </c>
      <c r="AC24" s="2"/>
      <c r="AD24" s="2"/>
      <c r="AE24" s="2"/>
    </row>
    <row r="25" ht="15.75" customHeight="1">
      <c r="A25" s="2">
        <v>24.0</v>
      </c>
      <c r="B25" s="2" t="s">
        <v>118</v>
      </c>
      <c r="C25" s="2" t="s">
        <v>119</v>
      </c>
      <c r="D25" s="2" t="s">
        <v>33</v>
      </c>
      <c r="E25" s="2" t="s">
        <v>64</v>
      </c>
      <c r="F25" s="3" t="s">
        <v>35</v>
      </c>
      <c r="G25" s="2"/>
      <c r="H25" s="2" t="s">
        <v>64</v>
      </c>
      <c r="I25" s="2" t="s">
        <v>36</v>
      </c>
      <c r="J25" s="2" t="s">
        <v>37</v>
      </c>
      <c r="K25" s="4" t="str">
        <f>HYPERLINK("https://archive.org/details/gramaticadelalen00salvuoft","Abrir enlace")</f>
        <v>Abrir enlace</v>
      </c>
      <c r="L25" s="2" t="s">
        <v>120</v>
      </c>
      <c r="M25" s="2"/>
      <c r="N25" s="2" t="s">
        <v>54</v>
      </c>
      <c r="O25" s="2"/>
      <c r="P25" s="4" t="str">
        <f>HYPERLINK("https://archive.org/details/gramaticadelalen00salvuoft","Abrir enlace")</f>
        <v>Abrir enlace</v>
      </c>
      <c r="Q25" s="2"/>
      <c r="R25" s="2"/>
      <c r="S25" s="2"/>
      <c r="T25" s="2"/>
      <c r="U25" s="2"/>
      <c r="V25" s="2"/>
      <c r="W25" s="2"/>
      <c r="X25" s="2"/>
      <c r="Y25" s="2"/>
      <c r="Z25" s="2"/>
      <c r="AA25" s="2" t="s">
        <v>51</v>
      </c>
      <c r="AB25" s="2" t="s">
        <v>67</v>
      </c>
      <c r="AC25" s="2"/>
      <c r="AD25" s="2"/>
      <c r="AE25" s="2"/>
    </row>
    <row r="26" ht="15.75" customHeight="1">
      <c r="A26" s="2">
        <v>25.0</v>
      </c>
      <c r="B26" s="2" t="s">
        <v>121</v>
      </c>
      <c r="C26" s="2"/>
      <c r="D26" s="2" t="s">
        <v>49</v>
      </c>
      <c r="E26" s="2" t="s">
        <v>64</v>
      </c>
      <c r="F26" s="3" t="s">
        <v>35</v>
      </c>
      <c r="G26" s="2"/>
      <c r="H26" s="2" t="s">
        <v>64</v>
      </c>
      <c r="I26" s="2" t="s">
        <v>36</v>
      </c>
      <c r="J26" s="2" t="s">
        <v>37</v>
      </c>
      <c r="K26" s="4" t="str">
        <f>HYPERLINK("https://archive.org/details/greekgrammarofro00cambiala","Abrir enlace")</f>
        <v>Abrir enlace</v>
      </c>
      <c r="L26" s="2" t="s">
        <v>122</v>
      </c>
      <c r="M26" s="2"/>
      <c r="N26" s="2" t="s">
        <v>54</v>
      </c>
      <c r="O26" s="2"/>
      <c r="P26" s="4" t="str">
        <f>HYPERLINK("https://archive.org/details/greekgrammarofro00cambiala","Abrir enlace")</f>
        <v>Abrir enlace</v>
      </c>
      <c r="Q26" s="2"/>
      <c r="R26" s="2"/>
      <c r="S26" s="2"/>
      <c r="T26" s="2"/>
      <c r="U26" s="2"/>
      <c r="V26" s="2"/>
      <c r="W26" s="2"/>
      <c r="X26" s="2"/>
      <c r="Y26" s="2"/>
      <c r="Z26" s="2"/>
      <c r="AA26" s="2" t="s">
        <v>66</v>
      </c>
      <c r="AB26" s="2" t="s">
        <v>67</v>
      </c>
      <c r="AC26" s="2"/>
      <c r="AD26" s="2"/>
      <c r="AE26" s="2"/>
    </row>
    <row r="27" ht="15.75" customHeight="1">
      <c r="A27" s="2">
        <v>26.0</v>
      </c>
      <c r="B27" s="2" t="s">
        <v>123</v>
      </c>
      <c r="C27" s="2" t="s">
        <v>124</v>
      </c>
      <c r="D27" s="2" t="s">
        <v>33</v>
      </c>
      <c r="E27" s="2" t="s">
        <v>112</v>
      </c>
      <c r="F27" s="3" t="s">
        <v>35</v>
      </c>
      <c r="G27" s="2"/>
      <c r="H27" s="2" t="s">
        <v>112</v>
      </c>
      <c r="I27" s="2" t="s">
        <v>36</v>
      </c>
      <c r="J27" s="2" t="s">
        <v>37</v>
      </c>
      <c r="K27" s="4" t="str">
        <f>HYPERLINK("http://books.google.com.mx/books?id=mF8hwQEACAAJ&amp;dq=El+g%C3%A9nesis,+los+milagros+y+las+predicciones+:+Seg%C3%BAn+el+espiritismo+Kardec,+Allan&amp;hl=&amp;as_pt=BOOKS&amp;source=gbs_api","Abrir enlace")</f>
        <v>Abrir enlace</v>
      </c>
      <c r="L27" s="2" t="s">
        <v>125</v>
      </c>
      <c r="M27" s="2"/>
      <c r="N27" s="2" t="s">
        <v>39</v>
      </c>
      <c r="O27" s="2"/>
      <c r="P27" s="4" t="str">
        <f>HYPERLINK("http://books.google.com.mx/books?id=mF8hwQEACAAJ&amp;dq=El+g%C3%A9nesis,+los+milagros+y+las+predicciones+:+Seg%C3%BAn+el+espiritismo+Kardec,+Allan&amp;hl=&amp;as_pt=BOOKS&amp;source=gbs_api","Abrir enlace")</f>
        <v>Abrir enlace</v>
      </c>
      <c r="Q27" s="2"/>
      <c r="R27" s="2"/>
      <c r="S27" s="2"/>
      <c r="T27" s="2"/>
      <c r="U27" s="2"/>
      <c r="V27" s="2"/>
      <c r="W27" s="2"/>
      <c r="X27" s="2"/>
      <c r="Y27" s="2"/>
      <c r="Z27" s="2"/>
      <c r="AA27" s="2" t="s">
        <v>51</v>
      </c>
      <c r="AB27" s="2" t="s">
        <v>114</v>
      </c>
      <c r="AC27" s="2"/>
      <c r="AD27" s="2"/>
      <c r="AE27" s="2"/>
    </row>
    <row r="28" ht="15.75" customHeight="1">
      <c r="A28" s="2">
        <v>27.0</v>
      </c>
      <c r="B28" s="2" t="s">
        <v>126</v>
      </c>
      <c r="C28" s="2" t="s">
        <v>127</v>
      </c>
      <c r="D28" s="2" t="s">
        <v>33</v>
      </c>
      <c r="E28" s="2" t="s">
        <v>64</v>
      </c>
      <c r="F28" s="3" t="s">
        <v>35</v>
      </c>
      <c r="G28" s="2"/>
      <c r="H28" s="2" t="s">
        <v>64</v>
      </c>
      <c r="I28" s="2" t="s">
        <v>36</v>
      </c>
      <c r="J28" s="2" t="s">
        <v>37</v>
      </c>
      <c r="K28" s="4" t="str">
        <f>HYPERLINK("https://openlibrary.org/works/OL93082W","Abrir enlace")</f>
        <v>Abrir enlace</v>
      </c>
      <c r="L28" s="2" t="s">
        <v>128</v>
      </c>
      <c r="M28" s="2"/>
      <c r="N28" s="2" t="s">
        <v>45</v>
      </c>
      <c r="O28" s="2"/>
      <c r="P28" s="4" t="str">
        <f>HYPERLINK("https://openlibrary.org/works/OL93082W","Abrir enlace")</f>
        <v>Abrir enlace</v>
      </c>
      <c r="Q28" s="2"/>
      <c r="R28" s="2"/>
      <c r="S28" s="2"/>
      <c r="T28" s="2"/>
      <c r="U28" s="2"/>
      <c r="V28" s="2"/>
      <c r="W28" s="2"/>
      <c r="X28" s="2"/>
      <c r="Y28" s="2"/>
      <c r="Z28" s="2"/>
      <c r="AA28" s="2" t="s">
        <v>51</v>
      </c>
      <c r="AB28" s="2" t="s">
        <v>67</v>
      </c>
      <c r="AC28" s="2"/>
      <c r="AD28" s="2"/>
      <c r="AE28" s="2"/>
    </row>
    <row r="29" ht="15.75" customHeight="1">
      <c r="A29" s="2">
        <v>28.0</v>
      </c>
      <c r="B29" s="2" t="s">
        <v>129</v>
      </c>
      <c r="C29" s="2" t="s">
        <v>130</v>
      </c>
      <c r="D29" s="2" t="s">
        <v>33</v>
      </c>
      <c r="E29" s="2" t="s">
        <v>34</v>
      </c>
      <c r="F29" s="3" t="s">
        <v>35</v>
      </c>
      <c r="G29" s="2"/>
      <c r="H29" s="2" t="s">
        <v>34</v>
      </c>
      <c r="I29" s="2" t="s">
        <v>36</v>
      </c>
      <c r="J29" s="2" t="s">
        <v>37</v>
      </c>
      <c r="K29" s="4" t="str">
        <f>HYPERLINK("https://play.google.com/store/books/details?id=H5fJqMx0cB4C&amp;source=gbs_api","Abrir enlace")</f>
        <v>Abrir enlace</v>
      </c>
      <c r="L29" s="2" t="s">
        <v>131</v>
      </c>
      <c r="M29" s="2"/>
      <c r="N29" s="2" t="s">
        <v>39</v>
      </c>
      <c r="O29" s="2"/>
      <c r="P29" s="4" t="str">
        <f>HYPERLINK("https://play.google.com/store/books/details?id=H5fJqMx0cB4C&amp;source=gbs_api","Abrir enlace")</f>
        <v>Abrir enlace</v>
      </c>
      <c r="Q29" s="2"/>
      <c r="R29" s="2"/>
      <c r="S29" s="2"/>
      <c r="T29" s="2"/>
      <c r="U29" s="2"/>
      <c r="V29" s="2"/>
      <c r="W29" s="2"/>
      <c r="X29" s="2"/>
      <c r="Y29" s="2"/>
      <c r="Z29" s="2"/>
      <c r="AA29" s="2" t="s">
        <v>40</v>
      </c>
      <c r="AB29" s="2" t="s">
        <v>41</v>
      </c>
      <c r="AC29" s="2"/>
      <c r="AD29" s="2"/>
      <c r="AE29" s="2"/>
    </row>
    <row r="30" ht="15.75" customHeight="1">
      <c r="A30" s="2">
        <v>29.0</v>
      </c>
      <c r="B30" s="2" t="s">
        <v>132</v>
      </c>
      <c r="C30" s="2" t="s">
        <v>133</v>
      </c>
      <c r="D30" s="2" t="s">
        <v>33</v>
      </c>
      <c r="E30" s="2" t="s">
        <v>64</v>
      </c>
      <c r="F30" s="3" t="s">
        <v>35</v>
      </c>
      <c r="G30" s="2"/>
      <c r="H30" s="2" t="s">
        <v>64</v>
      </c>
      <c r="I30" s="2" t="s">
        <v>36</v>
      </c>
      <c r="J30" s="2" t="s">
        <v>37</v>
      </c>
      <c r="K30" s="4" t="str">
        <f>HYPERLINK("https://openlibrary.org/works/OL19586469W","Abrir enlace")</f>
        <v>Abrir enlace</v>
      </c>
      <c r="L30" s="2" t="s">
        <v>134</v>
      </c>
      <c r="M30" s="2"/>
      <c r="N30" s="2" t="s">
        <v>45</v>
      </c>
      <c r="O30" s="2"/>
      <c r="P30" s="4" t="str">
        <f>HYPERLINK("https://openlibrary.org/works/OL19586469W","Abrir enlace")</f>
        <v>Abrir enlace</v>
      </c>
      <c r="Q30" s="2"/>
      <c r="R30" s="2"/>
      <c r="S30" s="2"/>
      <c r="T30" s="2"/>
      <c r="U30" s="2"/>
      <c r="V30" s="2"/>
      <c r="W30" s="2"/>
      <c r="X30" s="2"/>
      <c r="Y30" s="2"/>
      <c r="Z30" s="2"/>
      <c r="AA30" s="2" t="s">
        <v>66</v>
      </c>
      <c r="AB30" s="2" t="s">
        <v>67</v>
      </c>
      <c r="AC30" s="2"/>
      <c r="AD30" s="2"/>
      <c r="AE30" s="2"/>
    </row>
    <row r="31" ht="15.75" customHeight="1">
      <c r="A31" s="2">
        <v>30.0</v>
      </c>
      <c r="B31" s="2" t="s">
        <v>135</v>
      </c>
      <c r="C31" s="2" t="s">
        <v>136</v>
      </c>
      <c r="D31" s="2" t="s">
        <v>33</v>
      </c>
      <c r="E31" s="2" t="s">
        <v>64</v>
      </c>
      <c r="F31" s="3" t="s">
        <v>35</v>
      </c>
      <c r="G31" s="2"/>
      <c r="H31" s="2" t="s">
        <v>64</v>
      </c>
      <c r="I31" s="2" t="s">
        <v>36</v>
      </c>
      <c r="J31" s="2" t="s">
        <v>37</v>
      </c>
      <c r="K31" s="4" t="str">
        <f>HYPERLINK("https://archive.org/details/nvbesgraeceetla00arisgoog","Abrir enlace")</f>
        <v>Abrir enlace</v>
      </c>
      <c r="L31" s="2" t="s">
        <v>137</v>
      </c>
      <c r="M31" s="2"/>
      <c r="N31" s="2" t="s">
        <v>54</v>
      </c>
      <c r="O31" s="2"/>
      <c r="P31" s="4" t="str">
        <f>HYPERLINK("https://archive.org/details/nvbesgraeceetla00arisgoog","Abrir enlace")</f>
        <v>Abrir enlace</v>
      </c>
      <c r="Q31" s="2"/>
      <c r="R31" s="2"/>
      <c r="S31" s="2"/>
      <c r="T31" s="2"/>
      <c r="U31" s="2"/>
      <c r="V31" s="2"/>
      <c r="W31" s="2"/>
      <c r="X31" s="2"/>
      <c r="Y31" s="2"/>
      <c r="Z31" s="2"/>
      <c r="AA31" s="2" t="s">
        <v>46</v>
      </c>
      <c r="AB31" s="2" t="s">
        <v>67</v>
      </c>
      <c r="AC31" s="2"/>
      <c r="AD31" s="2"/>
      <c r="AE31" s="2"/>
    </row>
    <row r="32" ht="15.75" customHeight="1">
      <c r="A32" s="2">
        <v>31.0</v>
      </c>
      <c r="B32" s="2" t="s">
        <v>138</v>
      </c>
      <c r="C32" s="2" t="s">
        <v>139</v>
      </c>
      <c r="D32" s="2" t="s">
        <v>33</v>
      </c>
      <c r="E32" s="2" t="s">
        <v>34</v>
      </c>
      <c r="F32" s="3" t="s">
        <v>35</v>
      </c>
      <c r="G32" s="2"/>
      <c r="H32" s="2" t="s">
        <v>34</v>
      </c>
      <c r="I32" s="2" t="s">
        <v>36</v>
      </c>
      <c r="J32" s="2" t="s">
        <v>37</v>
      </c>
      <c r="K32" s="4" t="str">
        <f>HYPERLINK("https://openlibrary.org/works/OL36172191W","Abrir enlace")</f>
        <v>Abrir enlace</v>
      </c>
      <c r="L32" s="2" t="s">
        <v>138</v>
      </c>
      <c r="M32" s="2"/>
      <c r="N32" s="2" t="s">
        <v>45</v>
      </c>
      <c r="O32" s="2"/>
      <c r="P32" s="4" t="str">
        <f>HYPERLINK("https://openlibrary.org/works/OL36172191W","Abrir enlace")</f>
        <v>Abrir enlace</v>
      </c>
      <c r="Q32" s="2"/>
      <c r="R32" s="2"/>
      <c r="S32" s="2"/>
      <c r="T32" s="2"/>
      <c r="U32" s="2"/>
      <c r="V32" s="2"/>
      <c r="W32" s="2"/>
      <c r="X32" s="2"/>
      <c r="Y32" s="2"/>
      <c r="Z32" s="2"/>
      <c r="AA32" s="2" t="s">
        <v>40</v>
      </c>
      <c r="AB32" s="2" t="s">
        <v>41</v>
      </c>
      <c r="AC32" s="2"/>
      <c r="AD32" s="2"/>
      <c r="AE32" s="2"/>
    </row>
    <row r="33" ht="15.75" customHeight="1">
      <c r="A33" s="2">
        <v>32.0</v>
      </c>
      <c r="B33" s="2" t="s">
        <v>140</v>
      </c>
      <c r="C33" s="2" t="s">
        <v>141</v>
      </c>
      <c r="D33" s="2" t="s">
        <v>33</v>
      </c>
      <c r="E33" s="2" t="s">
        <v>34</v>
      </c>
      <c r="F33" s="3" t="s">
        <v>35</v>
      </c>
      <c r="G33" s="2"/>
      <c r="H33" s="2" t="s">
        <v>34</v>
      </c>
      <c r="I33" s="2" t="s">
        <v>36</v>
      </c>
      <c r="J33" s="2" t="s">
        <v>37</v>
      </c>
      <c r="K33" s="4" t="str">
        <f>HYPERLINK("http://books.google.com.mx/books?id=byxJHQAACAAJ&amp;dq=La+peregrinaci%C3%B3n+espa%C3%B1ola+en+Italia&amp;hl=&amp;as_pt=BOOKS&amp;source=gbs_api","Abrir enlace")</f>
        <v>Abrir enlace</v>
      </c>
      <c r="L33" s="2" t="s">
        <v>142</v>
      </c>
      <c r="M33" s="2"/>
      <c r="N33" s="2" t="s">
        <v>39</v>
      </c>
      <c r="O33" s="2"/>
      <c r="P33" s="4" t="str">
        <f>HYPERLINK("http://books.google.com.mx/books?id=byxJHQAACAAJ&amp;dq=La+peregrinaci%C3%B3n+espa%C3%B1ola+en+Italia&amp;hl=&amp;as_pt=BOOKS&amp;source=gbs_api","Abrir enlace")</f>
        <v>Abrir enlace</v>
      </c>
      <c r="Q33" s="2"/>
      <c r="R33" s="2"/>
      <c r="S33" s="2"/>
      <c r="T33" s="2"/>
      <c r="U33" s="2"/>
      <c r="V33" s="2"/>
      <c r="W33" s="2"/>
      <c r="X33" s="2"/>
      <c r="Y33" s="2"/>
      <c r="Z33" s="2"/>
      <c r="AA33" s="2" t="s">
        <v>51</v>
      </c>
      <c r="AB33" s="2" t="s">
        <v>41</v>
      </c>
      <c r="AC33" s="2"/>
      <c r="AD33" s="2"/>
      <c r="AE33" s="2"/>
    </row>
    <row r="34" ht="15.75" customHeight="1">
      <c r="A34" s="2">
        <v>33.0</v>
      </c>
      <c r="B34" s="2" t="s">
        <v>143</v>
      </c>
      <c r="C34" s="2" t="s">
        <v>144</v>
      </c>
      <c r="D34" s="2" t="s">
        <v>33</v>
      </c>
      <c r="E34" s="2" t="s">
        <v>64</v>
      </c>
      <c r="F34" s="3" t="s">
        <v>35</v>
      </c>
      <c r="G34" s="2"/>
      <c r="H34" s="2" t="s">
        <v>64</v>
      </c>
      <c r="I34" s="2" t="s">
        <v>36</v>
      </c>
      <c r="J34" s="2" t="s">
        <v>37</v>
      </c>
      <c r="K34" s="4" t="str">
        <f>HYPERLINK("http://books.google.com.mx/books?id=ehit0QEACAAJ&amp;dq=Opera+:+Interpretatione+et+notis&amp;hl=&amp;as_pt=BOOKS&amp;source=gbs_api","Abrir enlace")</f>
        <v>Abrir enlace</v>
      </c>
      <c r="L34" s="2" t="s">
        <v>145</v>
      </c>
      <c r="M34" s="2"/>
      <c r="N34" s="2" t="s">
        <v>39</v>
      </c>
      <c r="O34" s="2"/>
      <c r="P34" s="4" t="str">
        <f>HYPERLINK("http://books.google.com.mx/books?id=ehit0QEACAAJ&amp;dq=Opera+:+Interpretatione+et+notis&amp;hl=&amp;as_pt=BOOKS&amp;source=gbs_api","Abrir enlace")</f>
        <v>Abrir enlace</v>
      </c>
      <c r="Q34" s="2"/>
      <c r="R34" s="2"/>
      <c r="S34" s="2"/>
      <c r="T34" s="2"/>
      <c r="U34" s="2"/>
      <c r="V34" s="2"/>
      <c r="W34" s="2"/>
      <c r="X34" s="2"/>
      <c r="Y34" s="2"/>
      <c r="Z34" s="2"/>
      <c r="AA34" s="2" t="s">
        <v>46</v>
      </c>
      <c r="AB34" s="2" t="s">
        <v>67</v>
      </c>
      <c r="AC34" s="2"/>
      <c r="AD34" s="2"/>
      <c r="AE34" s="2"/>
    </row>
    <row r="35" ht="15.75" customHeight="1">
      <c r="A35" s="2">
        <v>34.0</v>
      </c>
      <c r="B35" s="2" t="s">
        <v>146</v>
      </c>
      <c r="C35" s="2" t="s">
        <v>147</v>
      </c>
      <c r="D35" s="2" t="s">
        <v>33</v>
      </c>
      <c r="E35" s="2" t="s">
        <v>64</v>
      </c>
      <c r="F35" s="3" t="s">
        <v>35</v>
      </c>
      <c r="G35" s="2"/>
      <c r="H35" s="2" t="s">
        <v>64</v>
      </c>
      <c r="I35" s="2" t="s">
        <v>36</v>
      </c>
      <c r="J35" s="2" t="s">
        <v>148</v>
      </c>
      <c r="K35" s="4" t="str">
        <f>HYPERLINK("http://books.google.com.mx/books?id=4HLazQEACAAJ&amp;dq=Promessi+sposi+Manzoni,+Alessandro&amp;hl=&amp;as_pt=BOOKS&amp;source=gbs_api","Abrir enlace")</f>
        <v>Abrir enlace</v>
      </c>
      <c r="L35" s="2" t="s">
        <v>149</v>
      </c>
      <c r="M35" s="2"/>
      <c r="N35" s="2" t="s">
        <v>39</v>
      </c>
      <c r="O35" s="2"/>
      <c r="P35" s="4" t="str">
        <f>HYPERLINK("http://books.google.com.mx/books?id=4HLazQEACAAJ&amp;dq=Promessi+sposi+Manzoni,+Alessandro&amp;hl=&amp;as_pt=BOOKS&amp;source=gbs_api","Abrir enlace")</f>
        <v>Abrir enlace</v>
      </c>
      <c r="Q35" s="2"/>
      <c r="R35" s="2"/>
      <c r="S35" s="2"/>
      <c r="T35" s="2"/>
      <c r="U35" s="2"/>
      <c r="V35" s="2"/>
      <c r="W35" s="2"/>
      <c r="X35" s="2"/>
      <c r="Y35" s="2"/>
      <c r="Z35" s="2"/>
      <c r="AA35" s="2" t="s">
        <v>60</v>
      </c>
      <c r="AB35" s="2" t="s">
        <v>150</v>
      </c>
      <c r="AC35" s="2"/>
      <c r="AD35" s="2"/>
      <c r="AE35" s="2"/>
    </row>
    <row r="36" ht="15.75" customHeight="1">
      <c r="A36" s="2">
        <v>35.0</v>
      </c>
      <c r="B36" s="2" t="s">
        <v>151</v>
      </c>
      <c r="C36" s="2" t="s">
        <v>152</v>
      </c>
      <c r="D36" s="2" t="s">
        <v>49</v>
      </c>
      <c r="E36" s="2" t="s">
        <v>112</v>
      </c>
      <c r="F36" s="3" t="s">
        <v>35</v>
      </c>
      <c r="G36" s="2"/>
      <c r="H36" s="2" t="s">
        <v>112</v>
      </c>
      <c r="I36" s="2" t="s">
        <v>36</v>
      </c>
      <c r="J36" s="2" t="s">
        <v>37</v>
      </c>
      <c r="K36" s="4" t="str">
        <f>HYPERLINK("https://archive.org/details/uneretraiteauca00lescgoog","Abrir enlace")</f>
        <v>Abrir enlace</v>
      </c>
      <c r="L36" s="2" t="s">
        <v>153</v>
      </c>
      <c r="M36" s="2"/>
      <c r="N36" s="2" t="s">
        <v>54</v>
      </c>
      <c r="O36" s="2"/>
      <c r="P36" s="4" t="str">
        <f>HYPERLINK("https://archive.org/details/uneretraiteauca00lescgoog","Abrir enlace")</f>
        <v>Abrir enlace</v>
      </c>
      <c r="Q36" s="2"/>
      <c r="R36" s="2"/>
      <c r="S36" s="2"/>
      <c r="T36" s="2"/>
      <c r="U36" s="2"/>
      <c r="V36" s="2"/>
      <c r="W36" s="2"/>
      <c r="X36" s="2"/>
      <c r="Y36" s="2"/>
      <c r="Z36" s="2"/>
      <c r="AA36" s="2" t="s">
        <v>40</v>
      </c>
      <c r="AB36" s="2" t="s">
        <v>114</v>
      </c>
      <c r="AC36" s="2"/>
      <c r="AD36" s="2"/>
      <c r="AE36" s="2"/>
    </row>
    <row r="37" ht="15.75" customHeight="1">
      <c r="A37" s="2">
        <v>36.0</v>
      </c>
      <c r="B37" s="2" t="s">
        <v>154</v>
      </c>
      <c r="C37" s="2" t="s">
        <v>155</v>
      </c>
      <c r="D37" s="2" t="s">
        <v>49</v>
      </c>
      <c r="E37" s="2" t="s">
        <v>112</v>
      </c>
      <c r="F37" s="3" t="s">
        <v>35</v>
      </c>
      <c r="G37" s="2"/>
      <c r="H37" s="2" t="s">
        <v>112</v>
      </c>
      <c r="I37" s="2" t="s">
        <v>36</v>
      </c>
      <c r="J37" s="2" t="s">
        <v>37</v>
      </c>
      <c r="K37" s="4" t="str">
        <f>HYPERLINK("https://openlibrary.org/works/OL32974016W","Abrir enlace")</f>
        <v>Abrir enlace</v>
      </c>
      <c r="L37" s="2" t="s">
        <v>156</v>
      </c>
      <c r="M37" s="2"/>
      <c r="N37" s="2" t="s">
        <v>45</v>
      </c>
      <c r="O37" s="2"/>
      <c r="P37" s="4" t="str">
        <f>HYPERLINK("https://openlibrary.org/works/OL32974016W","Abrir enlace")</f>
        <v>Abrir enlace</v>
      </c>
      <c r="Q37" s="2"/>
      <c r="R37" s="2"/>
      <c r="S37" s="2"/>
      <c r="T37" s="2"/>
      <c r="U37" s="2"/>
      <c r="V37" s="2"/>
      <c r="W37" s="2"/>
      <c r="X37" s="2"/>
      <c r="Y37" s="2"/>
      <c r="Z37" s="2"/>
      <c r="AA37" s="2" t="s">
        <v>40</v>
      </c>
      <c r="AB37" s="2" t="s">
        <v>114</v>
      </c>
      <c r="AC37" s="2"/>
      <c r="AD37" s="2"/>
      <c r="AE37" s="2"/>
    </row>
    <row r="38" ht="15.75" customHeight="1">
      <c r="A38" s="2">
        <v>37.0</v>
      </c>
      <c r="B38" s="2" t="s">
        <v>157</v>
      </c>
      <c r="C38" s="2"/>
      <c r="D38" s="2" t="s">
        <v>33</v>
      </c>
      <c r="E38" s="2" t="s">
        <v>64</v>
      </c>
      <c r="F38" s="3" t="s">
        <v>35</v>
      </c>
      <c r="G38" s="2"/>
      <c r="H38" s="2" t="s">
        <v>64</v>
      </c>
      <c r="I38" s="2" t="s">
        <v>36</v>
      </c>
      <c r="J38" s="2" t="s">
        <v>37</v>
      </c>
      <c r="K38" s="4" t="str">
        <f>HYPERLINK("https://openlibrary.org/works/OL43998547W","Abrir enlace")</f>
        <v>Abrir enlace</v>
      </c>
      <c r="L38" s="2" t="s">
        <v>157</v>
      </c>
      <c r="M38" s="2"/>
      <c r="N38" s="2" t="s">
        <v>45</v>
      </c>
      <c r="O38" s="2"/>
      <c r="P38" s="4" t="str">
        <f>HYPERLINK("https://openlibrary.org/works/OL43998547W","Abrir enlace")</f>
        <v>Abrir enlace</v>
      </c>
      <c r="Q38" s="2"/>
      <c r="R38" s="2"/>
      <c r="S38" s="2"/>
      <c r="T38" s="2"/>
      <c r="U38" s="2"/>
      <c r="V38" s="2"/>
      <c r="W38" s="2"/>
      <c r="X38" s="2"/>
      <c r="Y38" s="2"/>
      <c r="Z38" s="2"/>
      <c r="AA38" s="2" t="s">
        <v>66</v>
      </c>
      <c r="AB38" s="2" t="s">
        <v>67</v>
      </c>
      <c r="AC38" s="2"/>
      <c r="AD38" s="2"/>
      <c r="AE38" s="2"/>
    </row>
    <row r="39" ht="15.75" customHeight="1">
      <c r="A39" s="2">
        <v>38.0</v>
      </c>
      <c r="B39" s="2" t="s">
        <v>158</v>
      </c>
      <c r="C39" s="2" t="s">
        <v>159</v>
      </c>
      <c r="D39" s="2" t="s">
        <v>33</v>
      </c>
      <c r="E39" s="2" t="s">
        <v>34</v>
      </c>
      <c r="F39" s="3" t="s">
        <v>35</v>
      </c>
      <c r="G39" s="2"/>
      <c r="H39" s="2" t="s">
        <v>34</v>
      </c>
      <c r="I39" s="2" t="s">
        <v>36</v>
      </c>
      <c r="J39" s="2" t="s">
        <v>37</v>
      </c>
      <c r="K39" s="4" t="str">
        <f>HYPERLINK("http://books.google.com.mx/books?id=ojg74a9zXqMC&amp;dq=Viaggio+in+Germania,+Baviera,+Svizzera+Olanda+e+Francia+Palmieri,+D.+Gregorio&amp;hl=&amp;as_pt=BOOKS&amp;source=gbs_api","Abrir enlace")</f>
        <v>Abrir enlace</v>
      </c>
      <c r="L39" s="2" t="s">
        <v>160</v>
      </c>
      <c r="M39" s="2"/>
      <c r="N39" s="2" t="s">
        <v>39</v>
      </c>
      <c r="O39" s="2"/>
      <c r="P39" s="4" t="str">
        <f>HYPERLINK("http://books.google.com.mx/books?id=ojg74a9zXqMC&amp;dq=Viaggio+in+Germania,+Baviera,+Svizzera+Olanda+e+Francia+Palmieri,+D.+Gregorio&amp;hl=&amp;as_pt=BOOKS&amp;source=gbs_api","Abrir enlace")</f>
        <v>Abrir enlace</v>
      </c>
      <c r="Q39" s="2"/>
      <c r="R39" s="2"/>
      <c r="S39" s="2"/>
      <c r="T39" s="2"/>
      <c r="U39" s="2"/>
      <c r="V39" s="2"/>
      <c r="W39" s="2"/>
      <c r="X39" s="2"/>
      <c r="Y39" s="2"/>
      <c r="Z39" s="2"/>
      <c r="AA39" s="2" t="s">
        <v>60</v>
      </c>
      <c r="AB39" s="2" t="s">
        <v>41</v>
      </c>
      <c r="AC39" s="2"/>
      <c r="AD39" s="2"/>
      <c r="AE39" s="2"/>
    </row>
    <row r="40" ht="15.75" customHeight="1">
      <c r="A40" s="2">
        <v>39.0</v>
      </c>
      <c r="B40" s="2" t="s">
        <v>161</v>
      </c>
      <c r="C40" s="2" t="s">
        <v>162</v>
      </c>
      <c r="D40" s="2" t="s">
        <v>33</v>
      </c>
      <c r="E40" s="2" t="s">
        <v>64</v>
      </c>
      <c r="F40" s="3" t="s">
        <v>35</v>
      </c>
      <c r="G40" s="2"/>
      <c r="H40" s="2" t="s">
        <v>64</v>
      </c>
      <c r="I40" s="2" t="s">
        <v>36</v>
      </c>
      <c r="J40" s="2" t="s">
        <v>37</v>
      </c>
      <c r="K40" s="4" t="str">
        <f>HYPERLINK("https://archive.org/details/cloisterhearthta0000read","Abrir enlace")</f>
        <v>Abrir enlace</v>
      </c>
      <c r="L40" s="2" t="s">
        <v>163</v>
      </c>
      <c r="M40" s="2"/>
      <c r="N40" s="2" t="s">
        <v>54</v>
      </c>
      <c r="O40" s="2"/>
      <c r="P40" s="4" t="str">
        <f>HYPERLINK("https://archive.org/details/cloisterhearthta0000read","Abrir enlace")</f>
        <v>Abrir enlace</v>
      </c>
      <c r="Q40" s="2"/>
      <c r="R40" s="2"/>
      <c r="S40" s="2"/>
      <c r="T40" s="2"/>
      <c r="U40" s="2"/>
      <c r="V40" s="2"/>
      <c r="W40" s="2"/>
      <c r="X40" s="2"/>
      <c r="Y40" s="2"/>
      <c r="Z40" s="2"/>
      <c r="AA40" s="2" t="s">
        <v>66</v>
      </c>
      <c r="AB40" s="2" t="s">
        <v>67</v>
      </c>
      <c r="AC40" s="2"/>
      <c r="AD40" s="2"/>
      <c r="AE40" s="2"/>
    </row>
    <row r="41" ht="15.75" customHeight="1">
      <c r="A41" s="2">
        <v>40.0</v>
      </c>
      <c r="B41" s="2" t="s">
        <v>164</v>
      </c>
      <c r="C41" s="2"/>
      <c r="D41" s="2" t="s">
        <v>165</v>
      </c>
      <c r="E41" s="2" t="s">
        <v>112</v>
      </c>
      <c r="F41" s="3" t="s">
        <v>35</v>
      </c>
      <c r="G41" s="2"/>
      <c r="H41" s="2" t="s">
        <v>112</v>
      </c>
      <c r="I41" s="2" t="s">
        <v>36</v>
      </c>
      <c r="J41" s="2" t="s">
        <v>37</v>
      </c>
      <c r="K41" s="4" t="str">
        <f>HYPERLINK("https://openlibrary.org/works/OL21172650W","Abrir enlace")</f>
        <v>Abrir enlace</v>
      </c>
      <c r="L41" s="2" t="s">
        <v>166</v>
      </c>
      <c r="M41" s="2"/>
      <c r="N41" s="2" t="s">
        <v>45</v>
      </c>
      <c r="O41" s="2"/>
      <c r="P41" s="4" t="str">
        <f>HYPERLINK("https://openlibrary.org/works/OL21172650W","Abrir enlace")</f>
        <v>Abrir enlace</v>
      </c>
      <c r="Q41" s="2"/>
      <c r="R41" s="2"/>
      <c r="S41" s="2"/>
      <c r="T41" s="2"/>
      <c r="U41" s="2"/>
      <c r="V41" s="2"/>
      <c r="W41" s="2"/>
      <c r="X41" s="2"/>
      <c r="Y41" s="2"/>
      <c r="Z41" s="2"/>
      <c r="AA41" s="2" t="s">
        <v>66</v>
      </c>
      <c r="AB41" s="2" t="s">
        <v>114</v>
      </c>
      <c r="AC41" s="2"/>
      <c r="AD41" s="2"/>
      <c r="AE41" s="2"/>
    </row>
    <row r="42" ht="15.75" customHeight="1">
      <c r="A42" s="2">
        <v>41.0</v>
      </c>
      <c r="B42" s="2"/>
      <c r="C42" s="2" t="s">
        <v>167</v>
      </c>
      <c r="D42" s="2" t="s">
        <v>99</v>
      </c>
      <c r="E42" s="2" t="s">
        <v>64</v>
      </c>
      <c r="F42" s="2" t="s">
        <v>35</v>
      </c>
      <c r="G42" s="2"/>
      <c r="H42" s="2" t="s">
        <v>64</v>
      </c>
      <c r="I42" s="2" t="s">
        <v>168</v>
      </c>
      <c r="J42" s="2" t="s">
        <v>169</v>
      </c>
      <c r="K42" s="2"/>
      <c r="L42" s="2"/>
      <c r="M42" s="2"/>
      <c r="N42" s="2"/>
      <c r="O42" s="2"/>
      <c r="P42" s="2"/>
      <c r="Q42" s="2"/>
      <c r="R42" s="2"/>
      <c r="S42" s="2"/>
      <c r="T42" s="2"/>
      <c r="U42" s="2"/>
      <c r="V42" s="2"/>
      <c r="W42" s="2"/>
      <c r="X42" s="2"/>
      <c r="Y42" s="2"/>
      <c r="Z42" s="2"/>
      <c r="AA42" s="2"/>
      <c r="AB42" s="2"/>
      <c r="AC42" s="2"/>
      <c r="AD42" s="2"/>
      <c r="AE42" s="2"/>
    </row>
    <row r="43" ht="15.75" customHeight="1">
      <c r="A43" s="2">
        <v>42.0</v>
      </c>
      <c r="B43" s="2" t="s">
        <v>170</v>
      </c>
      <c r="C43" s="2"/>
      <c r="D43" s="2" t="s">
        <v>165</v>
      </c>
      <c r="E43" s="2" t="s">
        <v>112</v>
      </c>
      <c r="F43" s="3" t="s">
        <v>35</v>
      </c>
      <c r="G43" s="2"/>
      <c r="H43" s="2" t="s">
        <v>112</v>
      </c>
      <c r="I43" s="2" t="s">
        <v>36</v>
      </c>
      <c r="J43" s="2" t="s">
        <v>37</v>
      </c>
      <c r="K43" s="4" t="str">
        <f>HYPERLINK("https://openlibrary.org/works/OL32973211W","Abrir enlace")</f>
        <v>Abrir enlace</v>
      </c>
      <c r="L43" s="2" t="s">
        <v>171</v>
      </c>
      <c r="M43" s="2"/>
      <c r="N43" s="2" t="s">
        <v>45</v>
      </c>
      <c r="O43" s="2"/>
      <c r="P43" s="4" t="str">
        <f>HYPERLINK("https://openlibrary.org/works/OL32973211W","Abrir enlace")</f>
        <v>Abrir enlace</v>
      </c>
      <c r="Q43" s="2"/>
      <c r="R43" s="2"/>
      <c r="S43" s="2"/>
      <c r="T43" s="2"/>
      <c r="U43" s="2"/>
      <c r="V43" s="2"/>
      <c r="W43" s="2"/>
      <c r="X43" s="2"/>
      <c r="Y43" s="2"/>
      <c r="Z43" s="2"/>
      <c r="AA43" s="2" t="s">
        <v>51</v>
      </c>
      <c r="AB43" s="2" t="s">
        <v>114</v>
      </c>
      <c r="AC43" s="2"/>
      <c r="AD43" s="2"/>
      <c r="AE43" s="2"/>
    </row>
    <row r="44" ht="15.75" customHeight="1">
      <c r="A44" s="2">
        <v>43.0</v>
      </c>
      <c r="B44" s="2" t="s">
        <v>172</v>
      </c>
      <c r="C44" s="2" t="s">
        <v>173</v>
      </c>
      <c r="D44" s="2" t="s">
        <v>33</v>
      </c>
      <c r="E44" s="2" t="s">
        <v>70</v>
      </c>
      <c r="F44" s="2" t="s">
        <v>174</v>
      </c>
      <c r="G44" s="2" t="s">
        <v>175</v>
      </c>
      <c r="H44" s="2" t="s">
        <v>34</v>
      </c>
      <c r="I44" s="2" t="s">
        <v>36</v>
      </c>
      <c r="J44" s="2" t="s">
        <v>37</v>
      </c>
      <c r="K44" s="4" t="str">
        <f>HYPERLINK("http://books.google.com.mx/books?id=pPj7f34fPxgC&amp;dq=R%C3%A9cr%C3%A9ations+:+Grammaticales,+g%C3%A9ographiques,+historiques,+scientifiques+et+morales+Champeau,+R.+P.&amp;hl=&amp;as_pt=BOOKS"&amp;"&amp;source=gbs_api","Abrir enlace")</f>
        <v>Abrir enlace</v>
      </c>
      <c r="L44" s="2" t="s">
        <v>176</v>
      </c>
      <c r="M44" s="2"/>
      <c r="N44" s="2" t="s">
        <v>39</v>
      </c>
      <c r="O44" s="2"/>
      <c r="P44" s="4" t="str">
        <f>HYPERLINK("http://books.google.com.mx/books?id=pPj7f34fPxgC&amp;dq=R%C3%A9cr%C3%A9ations+:+Grammaticales,+g%C3%A9ographiques,+historiques,+scientifiques+et+morales+Champeau,+R.+P.&amp;hl=&amp;as_pt=BOOKS"&amp;"&amp;source=gbs_api","Abrir enlace")</f>
        <v>Abrir enlace</v>
      </c>
      <c r="Q44" s="2"/>
      <c r="R44" s="2"/>
      <c r="S44" s="2"/>
      <c r="T44" s="2"/>
      <c r="U44" s="2"/>
      <c r="V44" s="2"/>
      <c r="W44" s="2"/>
      <c r="X44" s="2"/>
      <c r="Y44" s="2"/>
      <c r="Z44" s="2"/>
      <c r="AA44" s="2" t="s">
        <v>40</v>
      </c>
      <c r="AB44" s="2" t="s">
        <v>41</v>
      </c>
      <c r="AC44" s="2" t="s">
        <v>175</v>
      </c>
      <c r="AD44" s="2"/>
      <c r="AE44" s="2"/>
    </row>
    <row r="45" ht="15.75" customHeight="1">
      <c r="A45" s="2">
        <v>44.0</v>
      </c>
      <c r="B45" s="2" t="s">
        <v>177</v>
      </c>
      <c r="C45" s="2" t="s">
        <v>178</v>
      </c>
      <c r="D45" s="2" t="s">
        <v>33</v>
      </c>
      <c r="E45" s="2" t="s">
        <v>64</v>
      </c>
      <c r="F45" s="3" t="s">
        <v>35</v>
      </c>
      <c r="G45" s="2"/>
      <c r="H45" s="2" t="s">
        <v>64</v>
      </c>
      <c r="I45" s="2" t="s">
        <v>36</v>
      </c>
      <c r="J45" s="2" t="s">
        <v>37</v>
      </c>
      <c r="K45" s="4" t="str">
        <f>HYPERLINK("https://play.google.com/store/books/details?id=EYhMAAAAcAAJ&amp;source=gbs_api","Abrir enlace")</f>
        <v>Abrir enlace</v>
      </c>
      <c r="L45" s="2" t="s">
        <v>179</v>
      </c>
      <c r="M45" s="2"/>
      <c r="N45" s="2" t="s">
        <v>39</v>
      </c>
      <c r="O45" s="2"/>
      <c r="P45" s="4" t="str">
        <f>HYPERLINK("https://play.google.com/store/books/details?id=EYhMAAAAcAAJ&amp;source=gbs_api","Abrir enlace")</f>
        <v>Abrir enlace</v>
      </c>
      <c r="Q45" s="2"/>
      <c r="R45" s="2"/>
      <c r="S45" s="2"/>
      <c r="T45" s="2"/>
      <c r="U45" s="2"/>
      <c r="V45" s="2"/>
      <c r="W45" s="2"/>
      <c r="X45" s="2"/>
      <c r="Y45" s="2"/>
      <c r="Z45" s="2"/>
      <c r="AA45" s="2" t="s">
        <v>66</v>
      </c>
      <c r="AB45" s="2" t="s">
        <v>67</v>
      </c>
      <c r="AC45" s="2"/>
      <c r="AD45" s="2"/>
      <c r="AE45" s="2"/>
    </row>
    <row r="46" ht="15.75" customHeight="1">
      <c r="A46" s="2">
        <v>45.0</v>
      </c>
      <c r="B46" s="2" t="s">
        <v>180</v>
      </c>
      <c r="C46" s="2" t="s">
        <v>181</v>
      </c>
      <c r="D46" s="2" t="s">
        <v>33</v>
      </c>
      <c r="E46" s="2" t="s">
        <v>64</v>
      </c>
      <c r="F46" s="3" t="s">
        <v>35</v>
      </c>
      <c r="G46" s="2"/>
      <c r="H46" s="2" t="s">
        <v>64</v>
      </c>
      <c r="I46" s="2" t="s">
        <v>36</v>
      </c>
      <c r="J46" s="2" t="s">
        <v>37</v>
      </c>
      <c r="K46" s="4" t="str">
        <f t="shared" ref="K46:K47" si="5">HYPERLINK("https://openlibrary.org/works/OL44323823W","Abrir enlace")</f>
        <v>Abrir enlace</v>
      </c>
      <c r="L46" s="2" t="s">
        <v>182</v>
      </c>
      <c r="M46" s="2"/>
      <c r="N46" s="2" t="s">
        <v>45</v>
      </c>
      <c r="O46" s="2"/>
      <c r="P46" s="4" t="str">
        <f t="shared" ref="P46:P47" si="6">HYPERLINK("https://openlibrary.org/works/OL44323823W","Abrir enlace")</f>
        <v>Abrir enlace</v>
      </c>
      <c r="Q46" s="2"/>
      <c r="R46" s="2"/>
      <c r="S46" s="2"/>
      <c r="T46" s="2"/>
      <c r="U46" s="2"/>
      <c r="V46" s="2"/>
      <c r="W46" s="2"/>
      <c r="X46" s="2"/>
      <c r="Y46" s="2"/>
      <c r="Z46" s="2"/>
      <c r="AA46" s="2" t="s">
        <v>40</v>
      </c>
      <c r="AB46" s="2" t="s">
        <v>67</v>
      </c>
      <c r="AC46" s="2"/>
      <c r="AD46" s="2"/>
      <c r="AE46" s="2"/>
    </row>
    <row r="47" ht="15.75" customHeight="1">
      <c r="A47" s="2">
        <v>46.0</v>
      </c>
      <c r="B47" s="2" t="s">
        <v>180</v>
      </c>
      <c r="C47" s="2" t="s">
        <v>181</v>
      </c>
      <c r="D47" s="2" t="s">
        <v>33</v>
      </c>
      <c r="E47" s="2" t="s">
        <v>64</v>
      </c>
      <c r="F47" s="3" t="s">
        <v>35</v>
      </c>
      <c r="G47" s="2"/>
      <c r="H47" s="2" t="s">
        <v>64</v>
      </c>
      <c r="I47" s="2" t="s">
        <v>36</v>
      </c>
      <c r="J47" s="2" t="s">
        <v>37</v>
      </c>
      <c r="K47" s="4" t="str">
        <f t="shared" si="5"/>
        <v>Abrir enlace</v>
      </c>
      <c r="L47" s="2" t="s">
        <v>182</v>
      </c>
      <c r="M47" s="2"/>
      <c r="N47" s="2" t="s">
        <v>45</v>
      </c>
      <c r="O47" s="2"/>
      <c r="P47" s="4" t="str">
        <f t="shared" si="6"/>
        <v>Abrir enlace</v>
      </c>
      <c r="Q47" s="2"/>
      <c r="R47" s="2"/>
      <c r="S47" s="2"/>
      <c r="T47" s="2"/>
      <c r="U47" s="2"/>
      <c r="V47" s="2"/>
      <c r="W47" s="2"/>
      <c r="X47" s="2"/>
      <c r="Y47" s="2"/>
      <c r="Z47" s="2"/>
      <c r="AA47" s="2" t="s">
        <v>40</v>
      </c>
      <c r="AB47" s="2" t="s">
        <v>67</v>
      </c>
      <c r="AC47" s="2"/>
      <c r="AD47" s="2"/>
      <c r="AE47" s="2"/>
    </row>
    <row r="48" ht="15.75" customHeight="1">
      <c r="A48" s="2">
        <v>47.0</v>
      </c>
      <c r="B48" s="2" t="s">
        <v>183</v>
      </c>
      <c r="C48" s="2"/>
      <c r="D48" s="2" t="s">
        <v>49</v>
      </c>
      <c r="E48" s="2" t="s">
        <v>64</v>
      </c>
      <c r="F48" s="3" t="s">
        <v>35</v>
      </c>
      <c r="G48" s="2"/>
      <c r="H48" s="2" t="s">
        <v>64</v>
      </c>
      <c r="I48" s="2" t="s">
        <v>36</v>
      </c>
      <c r="J48" s="2" t="s">
        <v>37</v>
      </c>
      <c r="K48" s="4" t="str">
        <f t="shared" ref="K48:K49" si="7">HYPERLINK("https://openlibrary.org/works/OL28567766W","Abrir enlace")</f>
        <v>Abrir enlace</v>
      </c>
      <c r="L48" s="2" t="s">
        <v>184</v>
      </c>
      <c r="M48" s="2"/>
      <c r="N48" s="2" t="s">
        <v>45</v>
      </c>
      <c r="O48" s="2"/>
      <c r="P48" s="4" t="str">
        <f t="shared" ref="P48:P49" si="8">HYPERLINK("https://openlibrary.org/works/OL28567766W","Abrir enlace")</f>
        <v>Abrir enlace</v>
      </c>
      <c r="Q48" s="2"/>
      <c r="R48" s="2"/>
      <c r="S48" s="2"/>
      <c r="T48" s="2"/>
      <c r="U48" s="2"/>
      <c r="V48" s="2"/>
      <c r="W48" s="2"/>
      <c r="X48" s="2"/>
      <c r="Y48" s="2"/>
      <c r="Z48" s="2"/>
      <c r="AA48" s="2" t="s">
        <v>40</v>
      </c>
      <c r="AB48" s="2" t="s">
        <v>67</v>
      </c>
      <c r="AC48" s="2"/>
      <c r="AD48" s="2"/>
      <c r="AE48" s="2"/>
    </row>
    <row r="49" ht="15.75" customHeight="1">
      <c r="A49" s="2">
        <v>48.0</v>
      </c>
      <c r="B49" s="2" t="s">
        <v>183</v>
      </c>
      <c r="C49" s="2"/>
      <c r="D49" s="2" t="s">
        <v>49</v>
      </c>
      <c r="E49" s="2" t="s">
        <v>64</v>
      </c>
      <c r="F49" s="3" t="s">
        <v>35</v>
      </c>
      <c r="G49" s="2"/>
      <c r="H49" s="2" t="s">
        <v>64</v>
      </c>
      <c r="I49" s="2" t="s">
        <v>36</v>
      </c>
      <c r="J49" s="2" t="s">
        <v>37</v>
      </c>
      <c r="K49" s="4" t="str">
        <f t="shared" si="7"/>
        <v>Abrir enlace</v>
      </c>
      <c r="L49" s="2" t="s">
        <v>184</v>
      </c>
      <c r="M49" s="2"/>
      <c r="N49" s="2" t="s">
        <v>45</v>
      </c>
      <c r="O49" s="2"/>
      <c r="P49" s="4" t="str">
        <f t="shared" si="8"/>
        <v>Abrir enlace</v>
      </c>
      <c r="Q49" s="2"/>
      <c r="R49" s="2"/>
      <c r="S49" s="2"/>
      <c r="T49" s="2"/>
      <c r="U49" s="2"/>
      <c r="V49" s="2"/>
      <c r="W49" s="2"/>
      <c r="X49" s="2"/>
      <c r="Y49" s="2"/>
      <c r="Z49" s="2"/>
      <c r="AA49" s="2" t="s">
        <v>40</v>
      </c>
      <c r="AB49" s="2" t="s">
        <v>67</v>
      </c>
      <c r="AC49" s="2"/>
      <c r="AD49" s="2"/>
      <c r="AE49" s="2"/>
    </row>
    <row r="50" ht="15.75" customHeight="1">
      <c r="A50" s="2">
        <v>49.0</v>
      </c>
      <c r="B50" s="2" t="s">
        <v>185</v>
      </c>
      <c r="C50" s="2" t="s">
        <v>186</v>
      </c>
      <c r="D50" s="2" t="s">
        <v>33</v>
      </c>
      <c r="E50" s="2" t="s">
        <v>70</v>
      </c>
      <c r="F50" s="3" t="s">
        <v>35</v>
      </c>
      <c r="G50" s="2"/>
      <c r="H50" s="2" t="s">
        <v>70</v>
      </c>
      <c r="I50" s="2" t="s">
        <v>168</v>
      </c>
      <c r="J50" s="2" t="s">
        <v>37</v>
      </c>
      <c r="K50" s="4" t="str">
        <f>HYPERLINK("https://openlibrary.org/works/OL42862328W","Abrir enlace")</f>
        <v>Abrir enlace</v>
      </c>
      <c r="L50" s="2" t="s">
        <v>185</v>
      </c>
      <c r="M50" s="2"/>
      <c r="N50" s="2" t="s">
        <v>45</v>
      </c>
      <c r="O50" s="2"/>
      <c r="P50" s="4" t="str">
        <f>HYPERLINK("https://openlibrary.org/works/OL42862328W","Abrir enlace")</f>
        <v>Abrir enlace</v>
      </c>
      <c r="Q50" s="2"/>
      <c r="R50" s="2"/>
      <c r="S50" s="2"/>
      <c r="T50" s="2"/>
      <c r="U50" s="2"/>
      <c r="V50" s="2"/>
      <c r="W50" s="2"/>
      <c r="X50" s="2"/>
      <c r="Y50" s="2"/>
      <c r="Z50" s="2"/>
      <c r="AA50" s="2" t="s">
        <v>40</v>
      </c>
      <c r="AB50" s="2" t="s">
        <v>72</v>
      </c>
      <c r="AC50" s="2"/>
      <c r="AD50" s="2"/>
      <c r="AE50" s="2"/>
    </row>
    <row r="51" ht="15.75" customHeight="1">
      <c r="A51" s="2">
        <v>50.0</v>
      </c>
      <c r="B51" s="2" t="s">
        <v>187</v>
      </c>
      <c r="C51" s="2"/>
      <c r="D51" s="2" t="s">
        <v>165</v>
      </c>
      <c r="E51" s="2" t="s">
        <v>188</v>
      </c>
      <c r="F51" s="2" t="s">
        <v>35</v>
      </c>
      <c r="G51" s="2"/>
      <c r="H51" s="2" t="s">
        <v>188</v>
      </c>
      <c r="I51" s="2" t="s">
        <v>189</v>
      </c>
      <c r="J51" s="2" t="s">
        <v>190</v>
      </c>
      <c r="K51" s="4" t="str">
        <f>HYPERLINK("https://es.scribd.com/document/1037386854/Reglamento-Interno-Resp-Log-Simb-Hermanos-Serdan-No-13","Abrir enlace")</f>
        <v>Abrir enlace</v>
      </c>
      <c r="L51" s="2" t="s">
        <v>191</v>
      </c>
      <c r="M51" s="2"/>
      <c r="N51" s="2" t="s">
        <v>91</v>
      </c>
      <c r="O51" s="2" t="s">
        <v>192</v>
      </c>
      <c r="P51" s="4" t="str">
        <f>HYPERLINK("https://es.scribd.com/document/1037386854/Reglamento-Interno-Resp-Log-Simb-Hermanos-Serdan-No-13","Abrir enlace")</f>
        <v>Abrir enlace</v>
      </c>
      <c r="Q51" s="2" t="s">
        <v>193</v>
      </c>
      <c r="R51" s="2"/>
      <c r="S51" s="2" t="s">
        <v>91</v>
      </c>
      <c r="T51" s="2" t="s">
        <v>194</v>
      </c>
      <c r="U51" s="4" t="str">
        <f>HYPERLINK("https://www.valdemar.com.mx/userfiles/files/REGLAMENTO+INTERIOR++DE+UNIFICACION+35+II.pdf","Abrir enlace")</f>
        <v>Abrir enlace</v>
      </c>
      <c r="V51" s="2" t="s">
        <v>195</v>
      </c>
      <c r="W51" s="2"/>
      <c r="X51" s="2" t="s">
        <v>91</v>
      </c>
      <c r="Y51" s="2" t="s">
        <v>196</v>
      </c>
      <c r="Z51" s="4" t="str">
        <f>HYPERLINK("https://dgesui.ses.sep.gob.mx/sites/default/files/2022-07/reglamento_cg_trabajo_personal_sep_0.pdf","Abrir enlace")</f>
        <v>Abrir enlace</v>
      </c>
      <c r="AA51" s="2"/>
      <c r="AB51" s="2"/>
      <c r="AC51" s="2"/>
      <c r="AD51" s="2"/>
      <c r="AE51" s="2"/>
    </row>
    <row r="52" ht="15.75" customHeight="1">
      <c r="A52" s="2">
        <v>51.0</v>
      </c>
      <c r="B52" s="2" t="s">
        <v>197</v>
      </c>
      <c r="C52" s="2" t="s">
        <v>198</v>
      </c>
      <c r="D52" s="2" t="s">
        <v>33</v>
      </c>
      <c r="E52" s="2" t="s">
        <v>34</v>
      </c>
      <c r="F52" s="3" t="s">
        <v>35</v>
      </c>
      <c r="G52" s="2"/>
      <c r="H52" s="2" t="s">
        <v>34</v>
      </c>
      <c r="I52" s="2" t="s">
        <v>36</v>
      </c>
      <c r="J52" s="2" t="s">
        <v>37</v>
      </c>
      <c r="K52" s="4" t="str">
        <f>HYPERLINK("https://play.google.com/store/books/details?id=RGo-AQAAMAAJ&amp;source=gbs_api","Abrir enlace")</f>
        <v>Abrir enlace</v>
      </c>
      <c r="L52" s="2" t="s">
        <v>199</v>
      </c>
      <c r="M52" s="2"/>
      <c r="N52" s="2" t="s">
        <v>39</v>
      </c>
      <c r="O52" s="2"/>
      <c r="P52" s="4" t="str">
        <f>HYPERLINK("https://play.google.com/store/books/details?id=RGo-AQAAMAAJ&amp;source=gbs_api","Abrir enlace")</f>
        <v>Abrir enlace</v>
      </c>
      <c r="Q52" s="2"/>
      <c r="R52" s="2"/>
      <c r="S52" s="2"/>
      <c r="T52" s="2"/>
      <c r="U52" s="2"/>
      <c r="V52" s="2"/>
      <c r="W52" s="2"/>
      <c r="X52" s="2"/>
      <c r="Y52" s="2"/>
      <c r="Z52" s="2"/>
      <c r="AA52" s="2" t="s">
        <v>40</v>
      </c>
      <c r="AB52" s="2" t="s">
        <v>41</v>
      </c>
      <c r="AC52" s="2"/>
      <c r="AD52" s="2"/>
      <c r="AE52" s="2"/>
    </row>
    <row r="53" ht="15.75" customHeight="1">
      <c r="A53" s="2">
        <v>52.0</v>
      </c>
      <c r="B53" s="2" t="s">
        <v>200</v>
      </c>
      <c r="C53" s="2"/>
      <c r="D53" s="2" t="s">
        <v>49</v>
      </c>
      <c r="E53" s="2" t="s">
        <v>70</v>
      </c>
      <c r="F53" s="3" t="s">
        <v>35</v>
      </c>
      <c r="G53" s="2"/>
      <c r="H53" s="2" t="s">
        <v>70</v>
      </c>
      <c r="I53" s="2" t="s">
        <v>36</v>
      </c>
      <c r="J53" s="2" t="s">
        <v>37</v>
      </c>
      <c r="K53" s="4" t="str">
        <f t="shared" ref="K53:K57" si="9">HYPERLINK("https://openlibrary.org/works/OL10565758W","Abrir enlace")</f>
        <v>Abrir enlace</v>
      </c>
      <c r="L53" s="2" t="s">
        <v>201</v>
      </c>
      <c r="M53" s="2"/>
      <c r="N53" s="2" t="s">
        <v>45</v>
      </c>
      <c r="O53" s="2"/>
      <c r="P53" s="4" t="str">
        <f t="shared" ref="P53:P57" si="10">HYPERLINK("https://openlibrary.org/works/OL10565758W","Abrir enlace")</f>
        <v>Abrir enlace</v>
      </c>
      <c r="Q53" s="2"/>
      <c r="R53" s="2"/>
      <c r="S53" s="2"/>
      <c r="T53" s="2"/>
      <c r="U53" s="2"/>
      <c r="V53" s="2"/>
      <c r="W53" s="2"/>
      <c r="X53" s="2"/>
      <c r="Y53" s="2"/>
      <c r="Z53" s="2"/>
      <c r="AA53" s="2" t="s">
        <v>40</v>
      </c>
      <c r="AB53" s="2" t="s">
        <v>72</v>
      </c>
      <c r="AC53" s="2"/>
      <c r="AD53" s="2"/>
      <c r="AE53" s="2"/>
    </row>
    <row r="54" ht="15.75" customHeight="1">
      <c r="A54" s="2">
        <v>53.0</v>
      </c>
      <c r="B54" s="2" t="s">
        <v>200</v>
      </c>
      <c r="C54" s="2"/>
      <c r="D54" s="2" t="s">
        <v>49</v>
      </c>
      <c r="E54" s="2" t="s">
        <v>70</v>
      </c>
      <c r="F54" s="3" t="s">
        <v>35</v>
      </c>
      <c r="G54" s="2"/>
      <c r="H54" s="2" t="s">
        <v>70</v>
      </c>
      <c r="I54" s="2" t="s">
        <v>36</v>
      </c>
      <c r="J54" s="2" t="s">
        <v>37</v>
      </c>
      <c r="K54" s="4" t="str">
        <f t="shared" si="9"/>
        <v>Abrir enlace</v>
      </c>
      <c r="L54" s="2" t="s">
        <v>201</v>
      </c>
      <c r="M54" s="2"/>
      <c r="N54" s="2" t="s">
        <v>45</v>
      </c>
      <c r="O54" s="2"/>
      <c r="P54" s="4" t="str">
        <f t="shared" si="10"/>
        <v>Abrir enlace</v>
      </c>
      <c r="Q54" s="2"/>
      <c r="R54" s="2"/>
      <c r="S54" s="2"/>
      <c r="T54" s="2"/>
      <c r="U54" s="2"/>
      <c r="V54" s="2"/>
      <c r="W54" s="2"/>
      <c r="X54" s="2"/>
      <c r="Y54" s="2"/>
      <c r="Z54" s="2"/>
      <c r="AA54" s="2" t="s">
        <v>40</v>
      </c>
      <c r="AB54" s="2" t="s">
        <v>72</v>
      </c>
      <c r="AC54" s="2"/>
      <c r="AD54" s="2"/>
      <c r="AE54" s="2"/>
    </row>
    <row r="55" ht="15.75" customHeight="1">
      <c r="A55" s="2">
        <v>54.0</v>
      </c>
      <c r="B55" s="2" t="s">
        <v>200</v>
      </c>
      <c r="C55" s="2"/>
      <c r="D55" s="2" t="s">
        <v>49</v>
      </c>
      <c r="E55" s="2" t="s">
        <v>70</v>
      </c>
      <c r="F55" s="3" t="s">
        <v>35</v>
      </c>
      <c r="G55" s="2"/>
      <c r="H55" s="2" t="s">
        <v>70</v>
      </c>
      <c r="I55" s="2" t="s">
        <v>36</v>
      </c>
      <c r="J55" s="2" t="s">
        <v>37</v>
      </c>
      <c r="K55" s="4" t="str">
        <f t="shared" si="9"/>
        <v>Abrir enlace</v>
      </c>
      <c r="L55" s="2" t="s">
        <v>201</v>
      </c>
      <c r="M55" s="2"/>
      <c r="N55" s="2" t="s">
        <v>45</v>
      </c>
      <c r="O55" s="2"/>
      <c r="P55" s="4" t="str">
        <f t="shared" si="10"/>
        <v>Abrir enlace</v>
      </c>
      <c r="Q55" s="2"/>
      <c r="R55" s="2"/>
      <c r="S55" s="2"/>
      <c r="T55" s="2"/>
      <c r="U55" s="2"/>
      <c r="V55" s="2"/>
      <c r="W55" s="2"/>
      <c r="X55" s="2"/>
      <c r="Y55" s="2"/>
      <c r="Z55" s="2"/>
      <c r="AA55" s="2" t="s">
        <v>40</v>
      </c>
      <c r="AB55" s="2" t="s">
        <v>72</v>
      </c>
      <c r="AC55" s="2"/>
      <c r="AD55" s="2"/>
      <c r="AE55" s="2"/>
    </row>
    <row r="56" ht="15.75" customHeight="1">
      <c r="A56" s="2">
        <v>55.0</v>
      </c>
      <c r="B56" s="2" t="s">
        <v>200</v>
      </c>
      <c r="C56" s="2"/>
      <c r="D56" s="2" t="s">
        <v>49</v>
      </c>
      <c r="E56" s="2" t="s">
        <v>70</v>
      </c>
      <c r="F56" s="3" t="s">
        <v>35</v>
      </c>
      <c r="G56" s="2"/>
      <c r="H56" s="2" t="s">
        <v>70</v>
      </c>
      <c r="I56" s="2" t="s">
        <v>36</v>
      </c>
      <c r="J56" s="2" t="s">
        <v>37</v>
      </c>
      <c r="K56" s="4" t="str">
        <f t="shared" si="9"/>
        <v>Abrir enlace</v>
      </c>
      <c r="L56" s="2" t="s">
        <v>201</v>
      </c>
      <c r="M56" s="2"/>
      <c r="N56" s="2" t="s">
        <v>45</v>
      </c>
      <c r="O56" s="2"/>
      <c r="P56" s="4" t="str">
        <f t="shared" si="10"/>
        <v>Abrir enlace</v>
      </c>
      <c r="Q56" s="2"/>
      <c r="R56" s="2"/>
      <c r="S56" s="2"/>
      <c r="T56" s="2"/>
      <c r="U56" s="2"/>
      <c r="V56" s="2"/>
      <c r="W56" s="2"/>
      <c r="X56" s="2"/>
      <c r="Y56" s="2"/>
      <c r="Z56" s="2"/>
      <c r="AA56" s="2" t="s">
        <v>40</v>
      </c>
      <c r="AB56" s="2" t="s">
        <v>72</v>
      </c>
      <c r="AC56" s="2"/>
      <c r="AD56" s="2"/>
      <c r="AE56" s="2"/>
    </row>
    <row r="57" ht="15.75" customHeight="1">
      <c r="A57" s="2">
        <v>56.0</v>
      </c>
      <c r="B57" s="2" t="s">
        <v>200</v>
      </c>
      <c r="C57" s="2"/>
      <c r="D57" s="2" t="s">
        <v>49</v>
      </c>
      <c r="E57" s="2" t="s">
        <v>70</v>
      </c>
      <c r="F57" s="3" t="s">
        <v>35</v>
      </c>
      <c r="G57" s="2"/>
      <c r="H57" s="2" t="s">
        <v>70</v>
      </c>
      <c r="I57" s="2" t="s">
        <v>36</v>
      </c>
      <c r="J57" s="2" t="s">
        <v>37</v>
      </c>
      <c r="K57" s="4" t="str">
        <f t="shared" si="9"/>
        <v>Abrir enlace</v>
      </c>
      <c r="L57" s="2" t="s">
        <v>201</v>
      </c>
      <c r="M57" s="2"/>
      <c r="N57" s="2" t="s">
        <v>45</v>
      </c>
      <c r="O57" s="2"/>
      <c r="P57" s="4" t="str">
        <f t="shared" si="10"/>
        <v>Abrir enlace</v>
      </c>
      <c r="Q57" s="2"/>
      <c r="R57" s="2"/>
      <c r="S57" s="2"/>
      <c r="T57" s="2"/>
      <c r="U57" s="2"/>
      <c r="V57" s="2"/>
      <c r="W57" s="2"/>
      <c r="X57" s="2"/>
      <c r="Y57" s="2"/>
      <c r="Z57" s="2"/>
      <c r="AA57" s="2" t="s">
        <v>40</v>
      </c>
      <c r="AB57" s="2" t="s">
        <v>72</v>
      </c>
      <c r="AC57" s="2"/>
      <c r="AD57" s="2"/>
      <c r="AE57" s="2"/>
    </row>
    <row r="58" ht="15.75" customHeight="1">
      <c r="A58" s="2">
        <v>57.0</v>
      </c>
      <c r="B58" s="2" t="s">
        <v>62</v>
      </c>
      <c r="C58" s="2" t="s">
        <v>202</v>
      </c>
      <c r="D58" s="2" t="s">
        <v>33</v>
      </c>
      <c r="E58" s="2" t="s">
        <v>64</v>
      </c>
      <c r="F58" s="3" t="s">
        <v>35</v>
      </c>
      <c r="G58" s="2"/>
      <c r="H58" s="2" t="s">
        <v>64</v>
      </c>
      <c r="I58" s="2" t="s">
        <v>36</v>
      </c>
      <c r="J58" s="2" t="s">
        <v>37</v>
      </c>
      <c r="K58" s="4" t="str">
        <f>HYPERLINK("https://play.google.com/store/books/details?id=5iM6AQAAMAAJ&amp;source=gbs_api","Abrir enlace")</f>
        <v>Abrir enlace</v>
      </c>
      <c r="L58" s="2" t="s">
        <v>203</v>
      </c>
      <c r="M58" s="2"/>
      <c r="N58" s="2" t="s">
        <v>39</v>
      </c>
      <c r="O58" s="2"/>
      <c r="P58" s="4" t="str">
        <f>HYPERLINK("https://play.google.com/store/books/details?id=5iM6AQAAMAAJ&amp;source=gbs_api","Abrir enlace")</f>
        <v>Abrir enlace</v>
      </c>
      <c r="Q58" s="2"/>
      <c r="R58" s="2"/>
      <c r="S58" s="2"/>
      <c r="T58" s="2"/>
      <c r="U58" s="2"/>
      <c r="V58" s="2"/>
      <c r="W58" s="2"/>
      <c r="X58" s="2"/>
      <c r="Y58" s="2"/>
      <c r="Z58" s="2"/>
      <c r="AA58" s="2" t="s">
        <v>66</v>
      </c>
      <c r="AB58" s="2" t="s">
        <v>67</v>
      </c>
      <c r="AC58" s="2"/>
      <c r="AD58" s="2"/>
      <c r="AE58" s="2"/>
    </row>
    <row r="59" ht="15.75" customHeight="1">
      <c r="A59" s="2">
        <v>58.0</v>
      </c>
      <c r="B59" s="2" t="s">
        <v>204</v>
      </c>
      <c r="C59" s="2" t="s">
        <v>205</v>
      </c>
      <c r="D59" s="2" t="s">
        <v>49</v>
      </c>
      <c r="E59" s="2" t="s">
        <v>64</v>
      </c>
      <c r="F59" s="3" t="s">
        <v>35</v>
      </c>
      <c r="G59" s="2"/>
      <c r="H59" s="2" t="s">
        <v>64</v>
      </c>
      <c r="I59" s="2" t="s">
        <v>36</v>
      </c>
      <c r="J59" s="2" t="s">
        <v>37</v>
      </c>
      <c r="K59" s="4" t="str">
        <f>HYPERLINK("https://openlibrary.org/works/OL42934349W","Abrir enlace")</f>
        <v>Abrir enlace</v>
      </c>
      <c r="L59" s="2" t="s">
        <v>206</v>
      </c>
      <c r="M59" s="2"/>
      <c r="N59" s="2" t="s">
        <v>45</v>
      </c>
      <c r="O59" s="2"/>
      <c r="P59" s="4" t="str">
        <f>HYPERLINK("https://openlibrary.org/works/OL42934349W","Abrir enlace")</f>
        <v>Abrir enlace</v>
      </c>
      <c r="Q59" s="2"/>
      <c r="R59" s="2"/>
      <c r="S59" s="2"/>
      <c r="T59" s="2"/>
      <c r="U59" s="2"/>
      <c r="V59" s="2"/>
      <c r="W59" s="2"/>
      <c r="X59" s="2"/>
      <c r="Y59" s="2"/>
      <c r="Z59" s="2"/>
      <c r="AA59" s="2" t="s">
        <v>60</v>
      </c>
      <c r="AB59" s="2" t="s">
        <v>67</v>
      </c>
      <c r="AC59" s="2"/>
      <c r="AD59" s="2"/>
      <c r="AE59" s="2"/>
    </row>
    <row r="60" ht="15.75" customHeight="1">
      <c r="A60" s="2">
        <v>59.0</v>
      </c>
      <c r="B60" s="2" t="s">
        <v>207</v>
      </c>
      <c r="C60" s="2" t="s">
        <v>208</v>
      </c>
      <c r="D60" s="2" t="s">
        <v>33</v>
      </c>
      <c r="E60" s="2" t="s">
        <v>70</v>
      </c>
      <c r="F60" s="3" t="s">
        <v>35</v>
      </c>
      <c r="G60" s="2"/>
      <c r="H60" s="2" t="s">
        <v>70</v>
      </c>
      <c r="I60" s="2" t="s">
        <v>168</v>
      </c>
      <c r="J60" s="2" t="s">
        <v>209</v>
      </c>
      <c r="K60" s="4" t="str">
        <f>HYPERLINK("https://openlibrary.org/works/OL37747426W","Abrir enlace")</f>
        <v>Abrir enlace</v>
      </c>
      <c r="L60" s="2" t="s">
        <v>210</v>
      </c>
      <c r="M60" s="2"/>
      <c r="N60" s="2" t="s">
        <v>45</v>
      </c>
      <c r="O60" s="2"/>
      <c r="P60" s="4" t="str">
        <f>HYPERLINK("https://openlibrary.org/works/OL37747426W","Abrir enlace")</f>
        <v>Abrir enlace</v>
      </c>
      <c r="Q60" s="2"/>
      <c r="R60" s="2"/>
      <c r="S60" s="2"/>
      <c r="T60" s="2"/>
      <c r="U60" s="2"/>
      <c r="V60" s="2"/>
      <c r="W60" s="2"/>
      <c r="X60" s="2"/>
      <c r="Y60" s="2"/>
      <c r="Z60" s="2"/>
      <c r="AA60" s="2" t="s">
        <v>40</v>
      </c>
      <c r="AB60" s="2" t="s">
        <v>211</v>
      </c>
      <c r="AC60" s="2"/>
      <c r="AD60" s="2"/>
      <c r="AE60" s="2"/>
    </row>
    <row r="61" ht="15.75" customHeight="1">
      <c r="A61" s="2">
        <v>60.0</v>
      </c>
      <c r="B61" s="2" t="s">
        <v>212</v>
      </c>
      <c r="C61" s="2"/>
      <c r="D61" s="2" t="s">
        <v>99</v>
      </c>
      <c r="E61" s="2" t="s">
        <v>34</v>
      </c>
      <c r="F61" s="2" t="s">
        <v>35</v>
      </c>
      <c r="G61" s="2"/>
      <c r="H61" s="2" t="s">
        <v>34</v>
      </c>
      <c r="I61" s="2" t="s">
        <v>168</v>
      </c>
      <c r="J61" s="2" t="s">
        <v>213</v>
      </c>
      <c r="K61" s="4" t="str">
        <f>HYPERLINK("https://archive.org/download/oscotianliterary22stmauoft/oscotianliterary22stmauoft.pdf","Abrir enlace")</f>
        <v>Abrir enlace</v>
      </c>
      <c r="L61" s="2" t="s">
        <v>214</v>
      </c>
      <c r="M61" s="2"/>
      <c r="N61" s="2" t="s">
        <v>91</v>
      </c>
      <c r="O61" s="2" t="s">
        <v>215</v>
      </c>
      <c r="P61" s="4" t="str">
        <f>HYPERLINK("https://archive.org/download/oscotianliterary22stmauoft/oscotianliterary22stmauoft.pdf","Abrir enlace")</f>
        <v>Abrir enlace</v>
      </c>
      <c r="Q61" s="2" t="s">
        <v>216</v>
      </c>
      <c r="R61" s="2" t="s">
        <v>217</v>
      </c>
      <c r="S61" s="2" t="s">
        <v>54</v>
      </c>
      <c r="T61" s="2" t="s">
        <v>218</v>
      </c>
      <c r="U61" s="4" t="str">
        <f>HYPERLINK("https://archive.org/details/isbn_9780606109840","Abrir enlace")</f>
        <v>Abrir enlace</v>
      </c>
      <c r="V61" s="2" t="s">
        <v>219</v>
      </c>
      <c r="W61" s="2" t="s">
        <v>220</v>
      </c>
      <c r="X61" s="2" t="s">
        <v>54</v>
      </c>
      <c r="Y61" s="2" t="s">
        <v>221</v>
      </c>
      <c r="Z61" s="4" t="str">
        <f>HYPERLINK("https://archive.org/details/bwb_T4-AQO-712","Abrir enlace")</f>
        <v>Abrir enlace</v>
      </c>
      <c r="AA61" s="2"/>
      <c r="AB61" s="2"/>
      <c r="AC61" s="2"/>
      <c r="AD61" s="2"/>
      <c r="AE61" s="2" t="s">
        <v>222</v>
      </c>
    </row>
    <row r="62" ht="15.75" customHeight="1">
      <c r="A62" s="2">
        <v>61.0</v>
      </c>
      <c r="B62" s="2" t="s">
        <v>223</v>
      </c>
      <c r="C62" s="2" t="s">
        <v>224</v>
      </c>
      <c r="D62" s="2" t="s">
        <v>33</v>
      </c>
      <c r="E62" s="2" t="s">
        <v>64</v>
      </c>
      <c r="F62" s="2" t="s">
        <v>174</v>
      </c>
      <c r="G62" s="2" t="s">
        <v>225</v>
      </c>
      <c r="H62" s="2" t="s">
        <v>64</v>
      </c>
      <c r="I62" s="2" t="s">
        <v>36</v>
      </c>
      <c r="J62" s="2" t="s">
        <v>226</v>
      </c>
      <c r="K62" s="4" t="str">
        <f t="shared" ref="K62:K63" si="11">HYPERLINK("http://books.google.com.mx/books?id=X_lKAAAAIAAJ&amp;dq=I+promessi+sposi+:+Storia+milanese+del+secolo+XVII+Manzoni,+Alefsandro&amp;hl=&amp;as_pt=BOOKS&amp;source=gbs_api","Abrir enlace")</f>
        <v>Abrir enlace</v>
      </c>
      <c r="L62" s="2" t="s">
        <v>227</v>
      </c>
      <c r="M62" s="2"/>
      <c r="N62" s="2" t="s">
        <v>39</v>
      </c>
      <c r="O62" s="2"/>
      <c r="P62" s="4" t="str">
        <f t="shared" ref="P62:P63" si="12">HYPERLINK("http://books.google.com.mx/books?id=X_lKAAAAIAAJ&amp;dq=I+promessi+sposi+:+Storia+milanese+del+secolo+XVII+Manzoni,+Alefsandro&amp;hl=&amp;as_pt=BOOKS&amp;source=gbs_api","Abrir enlace")</f>
        <v>Abrir enlace</v>
      </c>
      <c r="Q62" s="2"/>
      <c r="R62" s="2"/>
      <c r="S62" s="2"/>
      <c r="T62" s="2"/>
      <c r="U62" s="2"/>
      <c r="V62" s="2"/>
      <c r="W62" s="2"/>
      <c r="X62" s="2"/>
      <c r="Y62" s="2"/>
      <c r="Z62" s="2"/>
      <c r="AA62" s="2" t="s">
        <v>60</v>
      </c>
      <c r="AB62" s="2" t="s">
        <v>150</v>
      </c>
      <c r="AC62" s="2" t="s">
        <v>225</v>
      </c>
      <c r="AD62" s="2"/>
      <c r="AE62" s="2"/>
    </row>
    <row r="63" ht="15.75" customHeight="1">
      <c r="A63" s="2">
        <v>62.0</v>
      </c>
      <c r="B63" s="2" t="s">
        <v>223</v>
      </c>
      <c r="C63" s="2" t="s">
        <v>224</v>
      </c>
      <c r="D63" s="2" t="s">
        <v>33</v>
      </c>
      <c r="E63" s="2" t="s">
        <v>64</v>
      </c>
      <c r="F63" s="2" t="s">
        <v>174</v>
      </c>
      <c r="G63" s="2" t="s">
        <v>225</v>
      </c>
      <c r="H63" s="2" t="s">
        <v>34</v>
      </c>
      <c r="I63" s="2" t="s">
        <v>36</v>
      </c>
      <c r="J63" s="2" t="s">
        <v>37</v>
      </c>
      <c r="K63" s="4" t="str">
        <f t="shared" si="11"/>
        <v>Abrir enlace</v>
      </c>
      <c r="L63" s="2" t="s">
        <v>227</v>
      </c>
      <c r="M63" s="2"/>
      <c r="N63" s="2" t="s">
        <v>39</v>
      </c>
      <c r="O63" s="2"/>
      <c r="P63" s="4" t="str">
        <f t="shared" si="12"/>
        <v>Abrir enlace</v>
      </c>
      <c r="Q63" s="2"/>
      <c r="R63" s="2"/>
      <c r="S63" s="2"/>
      <c r="T63" s="2"/>
      <c r="U63" s="2"/>
      <c r="V63" s="2"/>
      <c r="W63" s="2"/>
      <c r="X63" s="2"/>
      <c r="Y63" s="2"/>
      <c r="Z63" s="2"/>
      <c r="AA63" s="2" t="s">
        <v>60</v>
      </c>
      <c r="AB63" s="2" t="s">
        <v>41</v>
      </c>
      <c r="AC63" s="2" t="s">
        <v>225</v>
      </c>
      <c r="AD63" s="2"/>
      <c r="AE63" s="2"/>
    </row>
    <row r="64" ht="15.75" customHeight="1">
      <c r="A64" s="2">
        <v>63.0</v>
      </c>
      <c r="B64" s="2" t="s">
        <v>228</v>
      </c>
      <c r="C64" s="2" t="s">
        <v>229</v>
      </c>
      <c r="D64" s="2" t="s">
        <v>33</v>
      </c>
      <c r="E64" s="2" t="s">
        <v>70</v>
      </c>
      <c r="F64" s="3" t="s">
        <v>35</v>
      </c>
      <c r="G64" s="2"/>
      <c r="H64" s="2" t="s">
        <v>70</v>
      </c>
      <c r="I64" s="2" t="s">
        <v>36</v>
      </c>
      <c r="J64" s="2" t="s">
        <v>37</v>
      </c>
      <c r="K64" s="4" t="str">
        <f>HYPERLINK("http://books.google.com.mx/books?id=201oHAAACAAJ&amp;dq=Guide+militaire+des+%C3%A9tudiants+et+des+M%C3%A9decins+%26pharmaciens+de+r%C3%A9serve+et+de+l%27arm%C3%A9e+territoriale+Petit,+"&amp;"Arthur&amp;hl=&amp;as_pt=BOOKS&amp;source=gbs_api","Abrir enlace")</f>
        <v>Abrir enlace</v>
      </c>
      <c r="L64" s="2" t="s">
        <v>230</v>
      </c>
      <c r="M64" s="2"/>
      <c r="N64" s="2" t="s">
        <v>39</v>
      </c>
      <c r="O64" s="2"/>
      <c r="P64" s="4" t="str">
        <f>HYPERLINK("http://books.google.com.mx/books?id=201oHAAACAAJ&amp;dq=Guide+militaire+des+%C3%A9tudiants+et+des+M%C3%A9decins+%26pharmaciens+de+r%C3%A9serve+et+de+l%27arm%C3%A9e+territoriale+Petit,+"&amp;"Arthur&amp;hl=&amp;as_pt=BOOKS&amp;source=gbs_api","Abrir enlace")</f>
        <v>Abrir enlace</v>
      </c>
      <c r="Q64" s="2"/>
      <c r="R64" s="2"/>
      <c r="S64" s="2"/>
      <c r="T64" s="2"/>
      <c r="U64" s="2"/>
      <c r="V64" s="2"/>
      <c r="W64" s="2"/>
      <c r="X64" s="2"/>
      <c r="Y64" s="2"/>
      <c r="Z64" s="2"/>
      <c r="AA64" s="2" t="s">
        <v>40</v>
      </c>
      <c r="AB64" s="2" t="s">
        <v>72</v>
      </c>
      <c r="AC64" s="2"/>
      <c r="AD64" s="2"/>
      <c r="AE64" s="2"/>
    </row>
    <row r="65" ht="15.75" customHeight="1">
      <c r="A65" s="2">
        <v>64.0</v>
      </c>
      <c r="B65" s="2" t="s">
        <v>62</v>
      </c>
      <c r="C65" s="2" t="s">
        <v>202</v>
      </c>
      <c r="D65" s="2" t="s">
        <v>33</v>
      </c>
      <c r="E65" s="2" t="s">
        <v>64</v>
      </c>
      <c r="F65" s="3" t="s">
        <v>35</v>
      </c>
      <c r="G65" s="2"/>
      <c r="H65" s="2" t="s">
        <v>64</v>
      </c>
      <c r="I65" s="2" t="s">
        <v>36</v>
      </c>
      <c r="J65" s="2" t="s">
        <v>37</v>
      </c>
      <c r="K65" s="4" t="str">
        <f>HYPERLINK("http://books.google.com.mx/books?id=zh7PzQEACAAJ&amp;dq=The+poetical+works&amp;hl=&amp;as_pt=BOOKS&amp;source=gbs_api","Abrir enlace")</f>
        <v>Abrir enlace</v>
      </c>
      <c r="L65" s="2" t="s">
        <v>231</v>
      </c>
      <c r="M65" s="2"/>
      <c r="N65" s="2" t="s">
        <v>39</v>
      </c>
      <c r="O65" s="2"/>
      <c r="P65" s="4" t="str">
        <f>HYPERLINK("http://books.google.com.mx/books?id=zh7PzQEACAAJ&amp;dq=The+poetical+works&amp;hl=&amp;as_pt=BOOKS&amp;source=gbs_api","Abrir enlace")</f>
        <v>Abrir enlace</v>
      </c>
      <c r="Q65" s="2"/>
      <c r="R65" s="2"/>
      <c r="S65" s="2"/>
      <c r="T65" s="2"/>
      <c r="U65" s="2"/>
      <c r="V65" s="2"/>
      <c r="W65" s="2"/>
      <c r="X65" s="2"/>
      <c r="Y65" s="2"/>
      <c r="Z65" s="2"/>
      <c r="AA65" s="2" t="s">
        <v>66</v>
      </c>
      <c r="AB65" s="2" t="s">
        <v>67</v>
      </c>
      <c r="AC65" s="2"/>
      <c r="AD65" s="2"/>
      <c r="AE65" s="2"/>
    </row>
    <row r="66" ht="15.75" customHeight="1">
      <c r="A66" s="2">
        <v>65.0</v>
      </c>
      <c r="B66" s="2" t="s">
        <v>232</v>
      </c>
      <c r="C66" s="2" t="s">
        <v>233</v>
      </c>
      <c r="D66" s="2" t="s">
        <v>49</v>
      </c>
      <c r="E66" s="2" t="s">
        <v>70</v>
      </c>
      <c r="F66" s="3" t="s">
        <v>35</v>
      </c>
      <c r="G66" s="2"/>
      <c r="H66" s="2" t="s">
        <v>70</v>
      </c>
      <c r="I66" s="2" t="s">
        <v>36</v>
      </c>
      <c r="J66" s="2" t="s">
        <v>37</v>
      </c>
      <c r="K66" s="4" t="str">
        <f>HYPERLINK("http://books.google.com.mx/books?id=x2drQwAACAAJ&amp;dq=La+qu%C3%ADmica+del+gusto+y+olfato+:+Manual+del+perfumador+y+fabricante+de+licores+Pallais,+D.&amp;hl=&amp;as_pt=BOOKS&amp;source=gbs_api","Abrir enlace")</f>
        <v>Abrir enlace</v>
      </c>
      <c r="L66" s="2" t="s">
        <v>234</v>
      </c>
      <c r="M66" s="2"/>
      <c r="N66" s="2" t="s">
        <v>39</v>
      </c>
      <c r="O66" s="2"/>
      <c r="P66" s="4" t="str">
        <f>HYPERLINK("http://books.google.com.mx/books?id=x2drQwAACAAJ&amp;dq=La+qu%C3%ADmica+del+gusto+y+olfato+:+Manual+del+perfumador+y+fabricante+de+licores+Pallais,+D.&amp;hl=&amp;as_pt=BOOKS&amp;source=gbs_api","Abrir enlace")</f>
        <v>Abrir enlace</v>
      </c>
      <c r="Q66" s="2"/>
      <c r="R66" s="2"/>
      <c r="S66" s="2"/>
      <c r="T66" s="2"/>
      <c r="U66" s="2"/>
      <c r="V66" s="2"/>
      <c r="W66" s="2"/>
      <c r="X66" s="2"/>
      <c r="Y66" s="2"/>
      <c r="Z66" s="2"/>
      <c r="AA66" s="2" t="s">
        <v>60</v>
      </c>
      <c r="AB66" s="2" t="s">
        <v>72</v>
      </c>
      <c r="AC66" s="2"/>
      <c r="AD66" s="2"/>
      <c r="AE66" s="2"/>
    </row>
    <row r="67" ht="15.75" customHeight="1">
      <c r="A67" s="2">
        <v>66.0</v>
      </c>
      <c r="B67" s="2" t="s">
        <v>235</v>
      </c>
      <c r="C67" s="2" t="s">
        <v>236</v>
      </c>
      <c r="D67" s="2" t="s">
        <v>33</v>
      </c>
      <c r="E67" s="2" t="s">
        <v>112</v>
      </c>
      <c r="F67" s="3" t="s">
        <v>35</v>
      </c>
      <c r="G67" s="2"/>
      <c r="H67" s="2" t="s">
        <v>112</v>
      </c>
      <c r="I67" s="2" t="s">
        <v>36</v>
      </c>
      <c r="J67" s="2" t="s">
        <v>37</v>
      </c>
      <c r="K67" s="4" t="str">
        <f>HYPERLINK("https://play.google.com/store/books/details?id=SPHWIFj0zWkC&amp;source=gbs_api","Abrir enlace")</f>
        <v>Abrir enlace</v>
      </c>
      <c r="L67" s="2" t="s">
        <v>237</v>
      </c>
      <c r="M67" s="2"/>
      <c r="N67" s="2" t="s">
        <v>39</v>
      </c>
      <c r="O67" s="2"/>
      <c r="P67" s="4" t="str">
        <f>HYPERLINK("https://play.google.com/store/books/details?id=SPHWIFj0zWkC&amp;source=gbs_api","Abrir enlace")</f>
        <v>Abrir enlace</v>
      </c>
      <c r="Q67" s="2"/>
      <c r="R67" s="2"/>
      <c r="S67" s="2"/>
      <c r="T67" s="2"/>
      <c r="U67" s="2"/>
      <c r="V67" s="2"/>
      <c r="W67" s="2"/>
      <c r="X67" s="2"/>
      <c r="Y67" s="2"/>
      <c r="Z67" s="2"/>
      <c r="AA67" s="2" t="s">
        <v>51</v>
      </c>
      <c r="AB67" s="2" t="s">
        <v>114</v>
      </c>
      <c r="AC67" s="2"/>
      <c r="AD67" s="2"/>
      <c r="AE67" s="2"/>
    </row>
    <row r="68" ht="15.75" customHeight="1">
      <c r="A68" s="2">
        <v>67.0</v>
      </c>
      <c r="B68" s="2" t="s">
        <v>238</v>
      </c>
      <c r="C68" s="2" t="s">
        <v>239</v>
      </c>
      <c r="D68" s="2" t="s">
        <v>33</v>
      </c>
      <c r="E68" s="2" t="s">
        <v>64</v>
      </c>
      <c r="F68" s="3" t="s">
        <v>35</v>
      </c>
      <c r="G68" s="2"/>
      <c r="H68" s="2" t="s">
        <v>64</v>
      </c>
      <c r="I68" s="2" t="s">
        <v>36</v>
      </c>
      <c r="J68" s="2" t="s">
        <v>37</v>
      </c>
      <c r="K68" s="4" t="str">
        <f>HYPERLINK("https://openlibrary.org/works/OL39467834W","Abrir enlace")</f>
        <v>Abrir enlace</v>
      </c>
      <c r="L68" s="2" t="s">
        <v>238</v>
      </c>
      <c r="M68" s="2"/>
      <c r="N68" s="2" t="s">
        <v>45</v>
      </c>
      <c r="O68" s="2"/>
      <c r="P68" s="4" t="str">
        <f>HYPERLINK("https://openlibrary.org/works/OL39467834W","Abrir enlace")</f>
        <v>Abrir enlace</v>
      </c>
      <c r="Q68" s="2"/>
      <c r="R68" s="2"/>
      <c r="S68" s="2"/>
      <c r="T68" s="2"/>
      <c r="U68" s="2"/>
      <c r="V68" s="2"/>
      <c r="W68" s="2"/>
      <c r="X68" s="2"/>
      <c r="Y68" s="2"/>
      <c r="Z68" s="2"/>
      <c r="AA68" s="2" t="s">
        <v>51</v>
      </c>
      <c r="AB68" s="2" t="s">
        <v>67</v>
      </c>
      <c r="AC68" s="2"/>
      <c r="AD68" s="2"/>
      <c r="AE68" s="2"/>
    </row>
    <row r="69" ht="15.75" customHeight="1">
      <c r="A69" s="2">
        <v>68.0</v>
      </c>
      <c r="B69" s="2" t="s">
        <v>240</v>
      </c>
      <c r="C69" s="2"/>
      <c r="D69" s="2" t="s">
        <v>49</v>
      </c>
      <c r="E69" s="2" t="s">
        <v>64</v>
      </c>
      <c r="F69" s="3" t="s">
        <v>35</v>
      </c>
      <c r="G69" s="2"/>
      <c r="H69" s="2" t="s">
        <v>64</v>
      </c>
      <c r="I69" s="2" t="s">
        <v>36</v>
      </c>
      <c r="J69" s="2" t="s">
        <v>37</v>
      </c>
      <c r="K69" s="4" t="str">
        <f>HYPERLINK("https://archive.org/details/bub_gb_jhfU4SAllF0C","Abrir enlace")</f>
        <v>Abrir enlace</v>
      </c>
      <c r="L69" s="2" t="s">
        <v>241</v>
      </c>
      <c r="M69" s="2"/>
      <c r="N69" s="2" t="s">
        <v>54</v>
      </c>
      <c r="O69" s="2"/>
      <c r="P69" s="4" t="str">
        <f>HYPERLINK("https://archive.org/details/bub_gb_jhfU4SAllF0C","Abrir enlace")</f>
        <v>Abrir enlace</v>
      </c>
      <c r="Q69" s="2"/>
      <c r="R69" s="2"/>
      <c r="S69" s="2"/>
      <c r="T69" s="2"/>
      <c r="U69" s="2"/>
      <c r="V69" s="2"/>
      <c r="W69" s="2"/>
      <c r="X69" s="2"/>
      <c r="Y69" s="2"/>
      <c r="Z69" s="2"/>
      <c r="AA69" s="2" t="s">
        <v>40</v>
      </c>
      <c r="AB69" s="2" t="s">
        <v>67</v>
      </c>
      <c r="AC69" s="2"/>
      <c r="AD69" s="2"/>
      <c r="AE69" s="2"/>
    </row>
    <row r="70" ht="15.75" customHeight="1">
      <c r="A70" s="2">
        <v>69.0</v>
      </c>
      <c r="B70" s="2" t="s">
        <v>242</v>
      </c>
      <c r="C70" s="2" t="s">
        <v>243</v>
      </c>
      <c r="D70" s="2" t="s">
        <v>49</v>
      </c>
      <c r="E70" s="2" t="s">
        <v>64</v>
      </c>
      <c r="F70" s="3" t="s">
        <v>35</v>
      </c>
      <c r="G70" s="2"/>
      <c r="H70" s="2" t="s">
        <v>64</v>
      </c>
      <c r="I70" s="2" t="s">
        <v>36</v>
      </c>
      <c r="J70" s="2" t="s">
        <v>37</v>
      </c>
      <c r="K70" s="4" t="str">
        <f>HYPERLINK("http://books.google.com.mx/books?id=YV7doQEACAAJ&amp;dq=Les+auters+latins+Horace&amp;hl=&amp;as_pt=BOOKS&amp;source=gbs_api","Abrir enlace")</f>
        <v>Abrir enlace</v>
      </c>
      <c r="L70" s="2" t="s">
        <v>244</v>
      </c>
      <c r="M70" s="2"/>
      <c r="N70" s="2" t="s">
        <v>39</v>
      </c>
      <c r="O70" s="2"/>
      <c r="P70" s="4" t="str">
        <f>HYPERLINK("http://books.google.com.mx/books?id=YV7doQEACAAJ&amp;dq=Les+auters+latins+Horace&amp;hl=&amp;as_pt=BOOKS&amp;source=gbs_api","Abrir enlace")</f>
        <v>Abrir enlace</v>
      </c>
      <c r="Q70" s="2"/>
      <c r="R70" s="2"/>
      <c r="S70" s="2"/>
      <c r="T70" s="2"/>
      <c r="U70" s="2"/>
      <c r="V70" s="2"/>
      <c r="W70" s="2"/>
      <c r="X70" s="2"/>
      <c r="Y70" s="2"/>
      <c r="Z70" s="2"/>
      <c r="AA70" s="2" t="s">
        <v>40</v>
      </c>
      <c r="AB70" s="2" t="s">
        <v>67</v>
      </c>
      <c r="AC70" s="2"/>
      <c r="AD70" s="2"/>
      <c r="AE70" s="2"/>
    </row>
    <row r="71" ht="15.75" customHeight="1">
      <c r="A71" s="2">
        <v>70.0</v>
      </c>
      <c r="B71" s="2" t="s">
        <v>245</v>
      </c>
      <c r="C71" s="2" t="s">
        <v>246</v>
      </c>
      <c r="D71" s="2" t="s">
        <v>33</v>
      </c>
      <c r="E71" s="2" t="s">
        <v>64</v>
      </c>
      <c r="F71" s="3" t="s">
        <v>35</v>
      </c>
      <c r="G71" s="2"/>
      <c r="H71" s="2" t="s">
        <v>64</v>
      </c>
      <c r="I71" s="2" t="s">
        <v>36</v>
      </c>
      <c r="J71" s="2" t="s">
        <v>37</v>
      </c>
      <c r="K71" s="4" t="str">
        <f>HYPERLINK("https://archive.org/details/lapetitefadette0000sand","Abrir enlace")</f>
        <v>Abrir enlace</v>
      </c>
      <c r="L71" s="2" t="s">
        <v>247</v>
      </c>
      <c r="M71" s="2"/>
      <c r="N71" s="2" t="s">
        <v>54</v>
      </c>
      <c r="O71" s="2"/>
      <c r="P71" s="4" t="str">
        <f>HYPERLINK("https://archive.org/details/lapetitefadette0000sand","Abrir enlace")</f>
        <v>Abrir enlace</v>
      </c>
      <c r="Q71" s="2"/>
      <c r="R71" s="2"/>
      <c r="S71" s="2"/>
      <c r="T71" s="2"/>
      <c r="U71" s="2"/>
      <c r="V71" s="2"/>
      <c r="W71" s="2"/>
      <c r="X71" s="2"/>
      <c r="Y71" s="2"/>
      <c r="Z71" s="2"/>
      <c r="AA71" s="2" t="s">
        <v>40</v>
      </c>
      <c r="AB71" s="2" t="s">
        <v>67</v>
      </c>
      <c r="AC71" s="2"/>
      <c r="AD71" s="2"/>
      <c r="AE71" s="2"/>
    </row>
    <row r="72" ht="15.75" customHeight="1">
      <c r="A72" s="2">
        <v>71.0</v>
      </c>
      <c r="B72" s="2" t="s">
        <v>248</v>
      </c>
      <c r="C72" s="2" t="s">
        <v>249</v>
      </c>
      <c r="D72" s="2" t="s">
        <v>33</v>
      </c>
      <c r="E72" s="2" t="s">
        <v>64</v>
      </c>
      <c r="F72" s="3" t="s">
        <v>35</v>
      </c>
      <c r="G72" s="2"/>
      <c r="H72" s="2" t="s">
        <v>64</v>
      </c>
      <c r="I72" s="2" t="s">
        <v>36</v>
      </c>
      <c r="J72" s="2" t="s">
        <v>37</v>
      </c>
      <c r="K72" s="4" t="str">
        <f>HYPERLINK("https://openlibrary.org/works/OL43685338W","Abrir enlace")</f>
        <v>Abrir enlace</v>
      </c>
      <c r="L72" s="2" t="s">
        <v>248</v>
      </c>
      <c r="M72" s="2"/>
      <c r="N72" s="2" t="s">
        <v>45</v>
      </c>
      <c r="O72" s="2"/>
      <c r="P72" s="4" t="str">
        <f>HYPERLINK("https://openlibrary.org/works/OL43685338W","Abrir enlace")</f>
        <v>Abrir enlace</v>
      </c>
      <c r="Q72" s="2"/>
      <c r="R72" s="2"/>
      <c r="S72" s="2"/>
      <c r="T72" s="2"/>
      <c r="U72" s="2"/>
      <c r="V72" s="2"/>
      <c r="W72" s="2"/>
      <c r="X72" s="2"/>
      <c r="Y72" s="2"/>
      <c r="Z72" s="2"/>
      <c r="AA72" s="2" t="s">
        <v>40</v>
      </c>
      <c r="AB72" s="2" t="s">
        <v>67</v>
      </c>
      <c r="AC72" s="2"/>
      <c r="AD72" s="2"/>
      <c r="AE72" s="2"/>
    </row>
    <row r="73" ht="15.75" customHeight="1">
      <c r="A73" s="2">
        <v>72.0</v>
      </c>
      <c r="B73" s="2" t="s">
        <v>250</v>
      </c>
      <c r="C73" s="2" t="s">
        <v>251</v>
      </c>
      <c r="D73" s="2" t="s">
        <v>49</v>
      </c>
      <c r="E73" s="2" t="s">
        <v>64</v>
      </c>
      <c r="F73" s="3" t="s">
        <v>35</v>
      </c>
      <c r="G73" s="2"/>
      <c r="H73" s="2" t="s">
        <v>64</v>
      </c>
      <c r="I73" s="2" t="s">
        <v>36</v>
      </c>
      <c r="J73" s="2" t="s">
        <v>37</v>
      </c>
      <c r="K73" s="4" t="str">
        <f>HYPERLINK("https://play.google.com/store/books/details?id=pBelZDAe-CUC&amp;source=gbs_api","Abrir enlace")</f>
        <v>Abrir enlace</v>
      </c>
      <c r="L73" s="2" t="s">
        <v>250</v>
      </c>
      <c r="M73" s="2"/>
      <c r="N73" s="2" t="s">
        <v>39</v>
      </c>
      <c r="O73" s="2"/>
      <c r="P73" s="4" t="str">
        <f>HYPERLINK("https://play.google.com/store/books/details?id=pBelZDAe-CUC&amp;source=gbs_api","Abrir enlace")</f>
        <v>Abrir enlace</v>
      </c>
      <c r="Q73" s="2"/>
      <c r="R73" s="2"/>
      <c r="S73" s="2"/>
      <c r="T73" s="2"/>
      <c r="U73" s="2"/>
      <c r="V73" s="2"/>
      <c r="W73" s="2"/>
      <c r="X73" s="2"/>
      <c r="Y73" s="2"/>
      <c r="Z73" s="2"/>
      <c r="AA73" s="2" t="s">
        <v>40</v>
      </c>
      <c r="AB73" s="2" t="s">
        <v>67</v>
      </c>
      <c r="AC73" s="2"/>
      <c r="AD73" s="2"/>
      <c r="AE73" s="2"/>
    </row>
    <row r="74" ht="15.75" customHeight="1">
      <c r="A74" s="2">
        <v>73.0</v>
      </c>
      <c r="B74" s="2" t="s">
        <v>252</v>
      </c>
      <c r="C74" s="2" t="s">
        <v>253</v>
      </c>
      <c r="D74" s="2" t="s">
        <v>33</v>
      </c>
      <c r="E74" s="2" t="s">
        <v>70</v>
      </c>
      <c r="F74" s="3" t="s">
        <v>35</v>
      </c>
      <c r="G74" s="2"/>
      <c r="H74" s="2" t="s">
        <v>70</v>
      </c>
      <c r="I74" s="2" t="s">
        <v>36</v>
      </c>
      <c r="J74" s="2" t="s">
        <v>37</v>
      </c>
      <c r="K74" s="4" t="str">
        <f>HYPERLINK("https://archive.org/details/popularexpositio00bren","Abrir enlace")</f>
        <v>Abrir enlace</v>
      </c>
      <c r="L74" s="2" t="s">
        <v>254</v>
      </c>
      <c r="M74" s="2"/>
      <c r="N74" s="2" t="s">
        <v>54</v>
      </c>
      <c r="O74" s="2"/>
      <c r="P74" s="4" t="str">
        <f>HYPERLINK("https://archive.org/details/popularexpositio00bren","Abrir enlace")</f>
        <v>Abrir enlace</v>
      </c>
      <c r="Q74" s="2"/>
      <c r="R74" s="2"/>
      <c r="S74" s="2"/>
      <c r="T74" s="2"/>
      <c r="U74" s="2"/>
      <c r="V74" s="2"/>
      <c r="W74" s="2"/>
      <c r="X74" s="2"/>
      <c r="Y74" s="2"/>
      <c r="Z74" s="2"/>
      <c r="AA74" s="2" t="s">
        <v>66</v>
      </c>
      <c r="AB74" s="2" t="s">
        <v>72</v>
      </c>
      <c r="AC74" s="2"/>
      <c r="AD74" s="2"/>
      <c r="AE74" s="2"/>
    </row>
    <row r="75" ht="15.75" customHeight="1">
      <c r="A75" s="2">
        <v>74.0</v>
      </c>
      <c r="B75" s="2" t="s">
        <v>255</v>
      </c>
      <c r="C75" s="2"/>
      <c r="D75" s="2" t="s">
        <v>49</v>
      </c>
      <c r="E75" s="2" t="s">
        <v>64</v>
      </c>
      <c r="F75" s="3" t="s">
        <v>35</v>
      </c>
      <c r="G75" s="2"/>
      <c r="H75" s="2" t="s">
        <v>64</v>
      </c>
      <c r="I75" s="2" t="s">
        <v>36</v>
      </c>
      <c r="J75" s="2" t="s">
        <v>256</v>
      </c>
      <c r="K75" s="4" t="str">
        <f>HYPERLINK("https://play.google.com/store/books/details?id=HBf0nOaNhWgC&amp;source=gbs_api","Abrir enlace")</f>
        <v>Abrir enlace</v>
      </c>
      <c r="L75" s="2" t="s">
        <v>257</v>
      </c>
      <c r="M75" s="2"/>
      <c r="N75" s="2" t="s">
        <v>39</v>
      </c>
      <c r="O75" s="2"/>
      <c r="P75" s="4" t="str">
        <f>HYPERLINK("https://play.google.com/store/books/details?id=HBf0nOaNhWgC&amp;source=gbs_api","Abrir enlace")</f>
        <v>Abrir enlace</v>
      </c>
      <c r="Q75" s="2"/>
      <c r="R75" s="2"/>
      <c r="S75" s="2"/>
      <c r="T75" s="2"/>
      <c r="U75" s="2"/>
      <c r="V75" s="2"/>
      <c r="W75" s="2"/>
      <c r="X75" s="2"/>
      <c r="Y75" s="2"/>
      <c r="Z75" s="2"/>
      <c r="AA75" s="2" t="s">
        <v>60</v>
      </c>
      <c r="AB75" s="2" t="s">
        <v>258</v>
      </c>
      <c r="AC75" s="2"/>
      <c r="AD75" s="2"/>
      <c r="AE75" s="2"/>
    </row>
    <row r="76" ht="15.75" customHeight="1">
      <c r="A76" s="2">
        <v>75.0</v>
      </c>
      <c r="B76" s="2" t="s">
        <v>259</v>
      </c>
      <c r="C76" s="2" t="s">
        <v>260</v>
      </c>
      <c r="D76" s="2" t="s">
        <v>33</v>
      </c>
      <c r="E76" s="2" t="s">
        <v>112</v>
      </c>
      <c r="F76" s="3" t="s">
        <v>35</v>
      </c>
      <c r="G76" s="2"/>
      <c r="H76" s="2" t="s">
        <v>112</v>
      </c>
      <c r="I76" s="2" t="s">
        <v>36</v>
      </c>
      <c r="J76" s="2" t="s">
        <v>37</v>
      </c>
      <c r="K76" s="4" t="str">
        <f>HYPERLINK("https://openlibrary.org/works/OL19618714W","Abrir enlace")</f>
        <v>Abrir enlace</v>
      </c>
      <c r="L76" s="2" t="s">
        <v>261</v>
      </c>
      <c r="M76" s="2"/>
      <c r="N76" s="2" t="s">
        <v>45</v>
      </c>
      <c r="O76" s="2"/>
      <c r="P76" s="4" t="str">
        <f>HYPERLINK("https://openlibrary.org/works/OL19618714W","Abrir enlace")</f>
        <v>Abrir enlace</v>
      </c>
      <c r="Q76" s="2"/>
      <c r="R76" s="2"/>
      <c r="S76" s="2"/>
      <c r="T76" s="2"/>
      <c r="U76" s="2"/>
      <c r="V76" s="2"/>
      <c r="W76" s="2"/>
      <c r="X76" s="2"/>
      <c r="Y76" s="2"/>
      <c r="Z76" s="2"/>
      <c r="AA76" s="2" t="s">
        <v>46</v>
      </c>
      <c r="AB76" s="2" t="s">
        <v>114</v>
      </c>
      <c r="AC76" s="2"/>
      <c r="AD76" s="2"/>
      <c r="AE76" s="2"/>
    </row>
    <row r="77" ht="15.75" customHeight="1">
      <c r="A77" s="2">
        <v>76.0</v>
      </c>
      <c r="B77" s="2" t="s">
        <v>262</v>
      </c>
      <c r="C77" s="2" t="s">
        <v>263</v>
      </c>
      <c r="D77" s="2" t="s">
        <v>33</v>
      </c>
      <c r="E77" s="2" t="s">
        <v>34</v>
      </c>
      <c r="F77" s="3" t="s">
        <v>35</v>
      </c>
      <c r="G77" s="2"/>
      <c r="H77" s="2" t="s">
        <v>34</v>
      </c>
      <c r="I77" s="2" t="s">
        <v>36</v>
      </c>
      <c r="J77" s="2" t="s">
        <v>264</v>
      </c>
      <c r="K77" s="4" t="str">
        <f t="shared" ref="K77:K78" si="13">HYPERLINK("https://archive.org/details/oeuvrescompl00taci","Abrir enlace")</f>
        <v>Abrir enlace</v>
      </c>
      <c r="L77" s="2" t="s">
        <v>262</v>
      </c>
      <c r="M77" s="2"/>
      <c r="N77" s="2" t="s">
        <v>54</v>
      </c>
      <c r="O77" s="2"/>
      <c r="P77" s="4" t="str">
        <f t="shared" ref="P77:P78" si="14">HYPERLINK("https://archive.org/details/oeuvrescompl00taci","Abrir enlace")</f>
        <v>Abrir enlace</v>
      </c>
      <c r="Q77" s="2"/>
      <c r="R77" s="2"/>
      <c r="S77" s="2"/>
      <c r="T77" s="2"/>
      <c r="U77" s="2"/>
      <c r="V77" s="2"/>
      <c r="W77" s="2"/>
      <c r="X77" s="2"/>
      <c r="Y77" s="2"/>
      <c r="Z77" s="2"/>
      <c r="AA77" s="2" t="s">
        <v>40</v>
      </c>
      <c r="AB77" s="2" t="s">
        <v>55</v>
      </c>
      <c r="AC77" s="2"/>
      <c r="AD77" s="2"/>
      <c r="AE77" s="2"/>
    </row>
    <row r="78" ht="15.75" customHeight="1">
      <c r="A78" s="2">
        <v>77.0</v>
      </c>
      <c r="B78" s="2" t="s">
        <v>262</v>
      </c>
      <c r="C78" s="2" t="s">
        <v>263</v>
      </c>
      <c r="D78" s="2" t="s">
        <v>33</v>
      </c>
      <c r="E78" s="2" t="s">
        <v>34</v>
      </c>
      <c r="F78" s="2" t="s">
        <v>174</v>
      </c>
      <c r="G78" s="2" t="s">
        <v>265</v>
      </c>
      <c r="H78" s="2" t="s">
        <v>64</v>
      </c>
      <c r="I78" s="2" t="s">
        <v>36</v>
      </c>
      <c r="J78" s="2" t="s">
        <v>37</v>
      </c>
      <c r="K78" s="4" t="str">
        <f t="shared" si="13"/>
        <v>Abrir enlace</v>
      </c>
      <c r="L78" s="2" t="s">
        <v>262</v>
      </c>
      <c r="M78" s="2"/>
      <c r="N78" s="2" t="s">
        <v>54</v>
      </c>
      <c r="O78" s="2"/>
      <c r="P78" s="4" t="str">
        <f t="shared" si="14"/>
        <v>Abrir enlace</v>
      </c>
      <c r="Q78" s="2"/>
      <c r="R78" s="2"/>
      <c r="S78" s="2"/>
      <c r="T78" s="2"/>
      <c r="U78" s="2"/>
      <c r="V78" s="2"/>
      <c r="W78" s="2"/>
      <c r="X78" s="2"/>
      <c r="Y78" s="2"/>
      <c r="Z78" s="2"/>
      <c r="AA78" s="2" t="s">
        <v>40</v>
      </c>
      <c r="AB78" s="2" t="s">
        <v>67</v>
      </c>
      <c r="AC78" s="2" t="s">
        <v>265</v>
      </c>
      <c r="AD78" s="2"/>
      <c r="AE78" s="2"/>
    </row>
    <row r="79" ht="15.75" customHeight="1">
      <c r="A79" s="2">
        <v>78.0</v>
      </c>
      <c r="B79" s="2" t="s">
        <v>266</v>
      </c>
      <c r="C79" s="2" t="s">
        <v>267</v>
      </c>
      <c r="D79" s="2" t="s">
        <v>33</v>
      </c>
      <c r="E79" s="2" t="s">
        <v>64</v>
      </c>
      <c r="F79" s="3" t="s">
        <v>35</v>
      </c>
      <c r="G79" s="2"/>
      <c r="H79" s="2" t="s">
        <v>64</v>
      </c>
      <c r="I79" s="2" t="s">
        <v>36</v>
      </c>
      <c r="J79" s="2" t="s">
        <v>37</v>
      </c>
      <c r="K79" s="4" t="str">
        <f>HYPERLINK("https://archive.org/details/scherzianacreont00bion","Abrir enlace")</f>
        <v>Abrir enlace</v>
      </c>
      <c r="L79" s="2" t="s">
        <v>266</v>
      </c>
      <c r="M79" s="2"/>
      <c r="N79" s="2" t="s">
        <v>54</v>
      </c>
      <c r="O79" s="2"/>
      <c r="P79" s="4" t="str">
        <f>HYPERLINK("https://archive.org/details/scherzianacreont00bion","Abrir enlace")</f>
        <v>Abrir enlace</v>
      </c>
      <c r="Q79" s="2"/>
      <c r="R79" s="2"/>
      <c r="S79" s="2"/>
      <c r="T79" s="2"/>
      <c r="U79" s="2"/>
      <c r="V79" s="2"/>
      <c r="W79" s="2"/>
      <c r="X79" s="2"/>
      <c r="Y79" s="2"/>
      <c r="Z79" s="2"/>
      <c r="AA79" s="2" t="s">
        <v>60</v>
      </c>
      <c r="AB79" s="2" t="s">
        <v>67</v>
      </c>
      <c r="AC79" s="2"/>
      <c r="AD79" s="2"/>
      <c r="AE79" s="2"/>
    </row>
    <row r="80" ht="15.75" customHeight="1">
      <c r="A80" s="2">
        <v>79.0</v>
      </c>
      <c r="B80" s="2" t="s">
        <v>268</v>
      </c>
      <c r="C80" s="2" t="s">
        <v>269</v>
      </c>
      <c r="D80" s="2" t="s">
        <v>33</v>
      </c>
      <c r="E80" s="2" t="s">
        <v>64</v>
      </c>
      <c r="F80" s="3" t="s">
        <v>35</v>
      </c>
      <c r="G80" s="2"/>
      <c r="H80" s="2" t="s">
        <v>64</v>
      </c>
      <c r="I80" s="2" t="s">
        <v>36</v>
      </c>
      <c r="J80" s="2" t="s">
        <v>37</v>
      </c>
      <c r="K80" s="4" t="str">
        <f>HYPERLINK("https://play.google.com/store/books/details?id=ke8pAAAAYAAJ&amp;source=gbs_api","Abrir enlace")</f>
        <v>Abrir enlace</v>
      </c>
      <c r="L80" s="2" t="s">
        <v>270</v>
      </c>
      <c r="M80" s="2"/>
      <c r="N80" s="2" t="s">
        <v>39</v>
      </c>
      <c r="O80" s="2"/>
      <c r="P80" s="4" t="str">
        <f>HYPERLINK("https://play.google.com/store/books/details?id=ke8pAAAAYAAJ&amp;source=gbs_api","Abrir enlace")</f>
        <v>Abrir enlace</v>
      </c>
      <c r="Q80" s="2"/>
      <c r="R80" s="2"/>
      <c r="S80" s="2"/>
      <c r="T80" s="2"/>
      <c r="U80" s="2"/>
      <c r="V80" s="2"/>
      <c r="W80" s="2"/>
      <c r="X80" s="2"/>
      <c r="Y80" s="2"/>
      <c r="Z80" s="2"/>
      <c r="AA80" s="2" t="s">
        <v>66</v>
      </c>
      <c r="AB80" s="2" t="s">
        <v>67</v>
      </c>
      <c r="AC80" s="2"/>
      <c r="AD80" s="2"/>
      <c r="AE80" s="2"/>
    </row>
    <row r="81" ht="15.75" customHeight="1">
      <c r="A81" s="2">
        <v>80.0</v>
      </c>
      <c r="B81" s="2" t="s">
        <v>271</v>
      </c>
      <c r="C81" s="2" t="s">
        <v>272</v>
      </c>
      <c r="D81" s="2" t="s">
        <v>33</v>
      </c>
      <c r="E81" s="2" t="s">
        <v>64</v>
      </c>
      <c r="F81" s="3" t="s">
        <v>35</v>
      </c>
      <c r="G81" s="2"/>
      <c r="H81" s="2" t="s">
        <v>64</v>
      </c>
      <c r="I81" s="2" t="s">
        <v>36</v>
      </c>
      <c r="J81" s="2" t="s">
        <v>37</v>
      </c>
      <c r="K81" s="4" t="str">
        <f>HYPERLINK("https://openlibrary.org/works/OL16557891M","Abrir enlace")</f>
        <v>Abrir enlace</v>
      </c>
      <c r="L81" s="2" t="s">
        <v>273</v>
      </c>
      <c r="M81" s="2"/>
      <c r="N81" s="2" t="s">
        <v>45</v>
      </c>
      <c r="O81" s="2"/>
      <c r="P81" s="4" t="str">
        <f>HYPERLINK("https://openlibrary.org/works/OL16557891M","Abrir enlace")</f>
        <v>Abrir enlace</v>
      </c>
      <c r="Q81" s="2"/>
      <c r="R81" s="2"/>
      <c r="S81" s="2"/>
      <c r="T81" s="2"/>
      <c r="U81" s="2"/>
      <c r="V81" s="2"/>
      <c r="W81" s="2"/>
      <c r="X81" s="2"/>
      <c r="Y81" s="2"/>
      <c r="Z81" s="2"/>
      <c r="AA81" s="2" t="s">
        <v>46</v>
      </c>
      <c r="AB81" s="2" t="s">
        <v>67</v>
      </c>
      <c r="AC81" s="2"/>
      <c r="AD81" s="2"/>
      <c r="AE81" s="2"/>
    </row>
    <row r="82" ht="15.75" customHeight="1">
      <c r="A82" s="2">
        <v>81.0</v>
      </c>
      <c r="B82" s="2" t="s">
        <v>274</v>
      </c>
      <c r="C82" s="2" t="s">
        <v>275</v>
      </c>
      <c r="D82" s="2" t="s">
        <v>33</v>
      </c>
      <c r="E82" s="2" t="s">
        <v>64</v>
      </c>
      <c r="F82" s="3" t="s">
        <v>35</v>
      </c>
      <c r="G82" s="2"/>
      <c r="H82" s="2" t="s">
        <v>64</v>
      </c>
      <c r="I82" s="2" t="s">
        <v>36</v>
      </c>
      <c r="J82" s="2" t="s">
        <v>37</v>
      </c>
      <c r="K82" s="4" t="str">
        <f>HYPERLINK("https://openlibrary.org/works/OL19358498W","Abrir enlace")</f>
        <v>Abrir enlace</v>
      </c>
      <c r="L82" s="2" t="s">
        <v>274</v>
      </c>
      <c r="M82" s="2"/>
      <c r="N82" s="2" t="s">
        <v>45</v>
      </c>
      <c r="O82" s="2"/>
      <c r="P82" s="4" t="str">
        <f>HYPERLINK("https://openlibrary.org/works/OL19358498W","Abrir enlace")</f>
        <v>Abrir enlace</v>
      </c>
      <c r="Q82" s="2"/>
      <c r="R82" s="2"/>
      <c r="S82" s="2"/>
      <c r="T82" s="2"/>
      <c r="U82" s="2"/>
      <c r="V82" s="2"/>
      <c r="W82" s="2"/>
      <c r="X82" s="2"/>
      <c r="Y82" s="2"/>
      <c r="Z82" s="2"/>
      <c r="AA82" s="2" t="s">
        <v>40</v>
      </c>
      <c r="AB82" s="2" t="s">
        <v>67</v>
      </c>
      <c r="AC82" s="2"/>
      <c r="AD82" s="2"/>
      <c r="AE82" s="2"/>
    </row>
    <row r="83" ht="15.75" customHeight="1">
      <c r="A83" s="2">
        <v>82.0</v>
      </c>
      <c r="B83" s="2" t="s">
        <v>276</v>
      </c>
      <c r="C83" s="2" t="s">
        <v>277</v>
      </c>
      <c r="D83" s="2" t="s">
        <v>33</v>
      </c>
      <c r="E83" s="2" t="s">
        <v>34</v>
      </c>
      <c r="F83" s="3" t="s">
        <v>35</v>
      </c>
      <c r="G83" s="2"/>
      <c r="H83" s="2" t="s">
        <v>34</v>
      </c>
      <c r="I83" s="2" t="s">
        <v>36</v>
      </c>
      <c r="J83" s="2" t="s">
        <v>37</v>
      </c>
      <c r="K83" s="4" t="str">
        <f>HYPERLINK("https://archive.org/details/viedalexandre00plut","Abrir enlace")</f>
        <v>Abrir enlace</v>
      </c>
      <c r="L83" s="2" t="s">
        <v>276</v>
      </c>
      <c r="M83" s="2"/>
      <c r="N83" s="2" t="s">
        <v>54</v>
      </c>
      <c r="O83" s="2"/>
      <c r="P83" s="4" t="str">
        <f>HYPERLINK("https://archive.org/details/viedalexandre00plut","Abrir enlace")</f>
        <v>Abrir enlace</v>
      </c>
      <c r="Q83" s="2"/>
      <c r="R83" s="2"/>
      <c r="S83" s="2"/>
      <c r="T83" s="2"/>
      <c r="U83" s="2"/>
      <c r="V83" s="2"/>
      <c r="W83" s="2"/>
      <c r="X83" s="2"/>
      <c r="Y83" s="2"/>
      <c r="Z83" s="2"/>
      <c r="AA83" s="2" t="s">
        <v>40</v>
      </c>
      <c r="AB83" s="2" t="s">
        <v>41</v>
      </c>
      <c r="AC83" s="2"/>
      <c r="AD83" s="2"/>
      <c r="AE83" s="2"/>
    </row>
    <row r="84" ht="15.75" customHeight="1">
      <c r="A84" s="2">
        <v>83.0</v>
      </c>
      <c r="B84" s="2" t="s">
        <v>278</v>
      </c>
      <c r="C84" s="2" t="s">
        <v>279</v>
      </c>
      <c r="D84" s="2" t="s">
        <v>33</v>
      </c>
      <c r="E84" s="2" t="s">
        <v>70</v>
      </c>
      <c r="F84" s="2" t="s">
        <v>174</v>
      </c>
      <c r="G84" s="2" t="s">
        <v>280</v>
      </c>
      <c r="H84" s="2" t="s">
        <v>34</v>
      </c>
      <c r="I84" s="2" t="s">
        <v>36</v>
      </c>
      <c r="J84" s="2" t="s">
        <v>281</v>
      </c>
      <c r="K84" s="4" t="str">
        <f>HYPERLINK("https://play.google.com/store/books/details?id=Z5-AI5WtJf8C&amp;source=gbs_api","Abrir enlace")</f>
        <v>Abrir enlace</v>
      </c>
      <c r="L84" s="2" t="s">
        <v>282</v>
      </c>
      <c r="M84" s="2"/>
      <c r="N84" s="2" t="s">
        <v>39</v>
      </c>
      <c r="O84" s="2"/>
      <c r="P84" s="4" t="str">
        <f>HYPERLINK("https://play.google.com/store/books/details?id=Z5-AI5WtJf8C&amp;source=gbs_api","Abrir enlace")</f>
        <v>Abrir enlace</v>
      </c>
      <c r="Q84" s="2"/>
      <c r="R84" s="2"/>
      <c r="S84" s="2"/>
      <c r="T84" s="2"/>
      <c r="U84" s="2"/>
      <c r="V84" s="2"/>
      <c r="W84" s="2"/>
      <c r="X84" s="2"/>
      <c r="Y84" s="2"/>
      <c r="Z84" s="2"/>
      <c r="AA84" s="2" t="s">
        <v>60</v>
      </c>
      <c r="AB84" s="2" t="s">
        <v>283</v>
      </c>
      <c r="AC84" s="2" t="s">
        <v>280</v>
      </c>
      <c r="AD84" s="2"/>
      <c r="AE84" s="2"/>
    </row>
    <row r="85" ht="15.75" customHeight="1">
      <c r="A85" s="2">
        <v>84.0</v>
      </c>
      <c r="B85" s="2" t="s">
        <v>118</v>
      </c>
      <c r="C85" s="2" t="s">
        <v>119</v>
      </c>
      <c r="D85" s="2" t="s">
        <v>33</v>
      </c>
      <c r="E85" s="2" t="s">
        <v>64</v>
      </c>
      <c r="F85" s="3" t="s">
        <v>35</v>
      </c>
      <c r="G85" s="2"/>
      <c r="H85" s="2" t="s">
        <v>64</v>
      </c>
      <c r="I85" s="2" t="s">
        <v>36</v>
      </c>
      <c r="J85" s="2" t="s">
        <v>37</v>
      </c>
      <c r="K85" s="4" t="str">
        <f>HYPERLINK("https://archive.org/details/gramaticadelalen00salvuoft","Abrir enlace")</f>
        <v>Abrir enlace</v>
      </c>
      <c r="L85" s="2" t="s">
        <v>120</v>
      </c>
      <c r="M85" s="2"/>
      <c r="N85" s="2" t="s">
        <v>54</v>
      </c>
      <c r="O85" s="2"/>
      <c r="P85" s="4" t="str">
        <f>HYPERLINK("https://archive.org/details/gramaticadelalen00salvuoft","Abrir enlace")</f>
        <v>Abrir enlace</v>
      </c>
      <c r="Q85" s="2"/>
      <c r="R85" s="2"/>
      <c r="S85" s="2"/>
      <c r="T85" s="2"/>
      <c r="U85" s="2"/>
      <c r="V85" s="2"/>
      <c r="W85" s="2"/>
      <c r="X85" s="2"/>
      <c r="Y85" s="2"/>
      <c r="Z85" s="2"/>
      <c r="AA85" s="2" t="s">
        <v>51</v>
      </c>
      <c r="AB85" s="2" t="s">
        <v>67</v>
      </c>
      <c r="AC85" s="2"/>
      <c r="AD85" s="2"/>
      <c r="AE85" s="2"/>
    </row>
    <row r="86" ht="15.75" customHeight="1">
      <c r="A86" s="2">
        <v>85.0</v>
      </c>
      <c r="B86" s="2" t="s">
        <v>284</v>
      </c>
      <c r="C86" s="2" t="s">
        <v>285</v>
      </c>
      <c r="D86" s="2" t="s">
        <v>33</v>
      </c>
      <c r="E86" s="2" t="s">
        <v>64</v>
      </c>
      <c r="F86" s="3" t="s">
        <v>35</v>
      </c>
      <c r="G86" s="2"/>
      <c r="H86" s="2" t="s">
        <v>64</v>
      </c>
      <c r="I86" s="2" t="s">
        <v>36</v>
      </c>
      <c r="J86" s="2" t="s">
        <v>37</v>
      </c>
      <c r="K86" s="4" t="str">
        <f>HYPERLINK("https://openlibrary.org/works/OL16745575W","Abrir enlace")</f>
        <v>Abrir enlace</v>
      </c>
      <c r="L86" s="2" t="s">
        <v>284</v>
      </c>
      <c r="M86" s="2"/>
      <c r="N86" s="2" t="s">
        <v>45</v>
      </c>
      <c r="O86" s="2"/>
      <c r="P86" s="4" t="str">
        <f>HYPERLINK("https://openlibrary.org/works/OL16745575W","Abrir enlace")</f>
        <v>Abrir enlace</v>
      </c>
      <c r="Q86" s="2"/>
      <c r="R86" s="2"/>
      <c r="S86" s="2"/>
      <c r="T86" s="2"/>
      <c r="U86" s="2"/>
      <c r="V86" s="2"/>
      <c r="W86" s="2"/>
      <c r="X86" s="2"/>
      <c r="Y86" s="2"/>
      <c r="Z86" s="2"/>
      <c r="AA86" s="2" t="s">
        <v>66</v>
      </c>
      <c r="AB86" s="2" t="s">
        <v>67</v>
      </c>
      <c r="AC86" s="2"/>
      <c r="AD86" s="2"/>
      <c r="AE86" s="2"/>
    </row>
    <row r="87" ht="15.75" customHeight="1">
      <c r="A87" s="2">
        <v>86.0</v>
      </c>
      <c r="B87" s="2" t="s">
        <v>286</v>
      </c>
      <c r="C87" s="2" t="s">
        <v>287</v>
      </c>
      <c r="D87" s="2" t="s">
        <v>33</v>
      </c>
      <c r="E87" s="2" t="s">
        <v>64</v>
      </c>
      <c r="F87" s="3" t="s">
        <v>35</v>
      </c>
      <c r="G87" s="2"/>
      <c r="H87" s="2" t="s">
        <v>64</v>
      </c>
      <c r="I87" s="2" t="s">
        <v>36</v>
      </c>
      <c r="J87" s="2" t="s">
        <v>37</v>
      </c>
      <c r="K87" s="4" t="str">
        <f>HYPERLINK("https://openlibrary.org/works/OL7718225W","Abrir enlace")</f>
        <v>Abrir enlace</v>
      </c>
      <c r="L87" s="2" t="s">
        <v>288</v>
      </c>
      <c r="M87" s="2"/>
      <c r="N87" s="2" t="s">
        <v>45</v>
      </c>
      <c r="O87" s="2"/>
      <c r="P87" s="4" t="str">
        <f>HYPERLINK("https://openlibrary.org/works/OL7718225W","Abrir enlace")</f>
        <v>Abrir enlace</v>
      </c>
      <c r="Q87" s="2"/>
      <c r="R87" s="2"/>
      <c r="S87" s="2"/>
      <c r="T87" s="2"/>
      <c r="U87" s="2"/>
      <c r="V87" s="2"/>
      <c r="W87" s="2"/>
      <c r="X87" s="2"/>
      <c r="Y87" s="2"/>
      <c r="Z87" s="2"/>
      <c r="AA87" s="2" t="s">
        <v>66</v>
      </c>
      <c r="AB87" s="2" t="s">
        <v>67</v>
      </c>
      <c r="AC87" s="2"/>
      <c r="AD87" s="2"/>
      <c r="AE87" s="2"/>
    </row>
    <row r="88" ht="15.75" customHeight="1">
      <c r="A88" s="2">
        <v>87.0</v>
      </c>
      <c r="B88" s="2" t="s">
        <v>289</v>
      </c>
      <c r="C88" s="2"/>
      <c r="D88" s="2" t="s">
        <v>49</v>
      </c>
      <c r="E88" s="2" t="s">
        <v>64</v>
      </c>
      <c r="F88" s="3" t="s">
        <v>35</v>
      </c>
      <c r="G88" s="2"/>
      <c r="H88" s="2" t="s">
        <v>64</v>
      </c>
      <c r="I88" s="2" t="s">
        <v>36</v>
      </c>
      <c r="J88" s="2" t="s">
        <v>37</v>
      </c>
      <c r="K88" s="4" t="str">
        <f>HYPERLINK("https://openlibrary.org/works/OL3704345W","Abrir enlace")</f>
        <v>Abrir enlace</v>
      </c>
      <c r="L88" s="2" t="s">
        <v>290</v>
      </c>
      <c r="M88" s="2"/>
      <c r="N88" s="2" t="s">
        <v>45</v>
      </c>
      <c r="O88" s="2"/>
      <c r="P88" s="4" t="str">
        <f>HYPERLINK("https://openlibrary.org/works/OL3704345W","Abrir enlace")</f>
        <v>Abrir enlace</v>
      </c>
      <c r="Q88" s="2"/>
      <c r="R88" s="2"/>
      <c r="S88" s="2"/>
      <c r="T88" s="2"/>
      <c r="U88" s="2"/>
      <c r="V88" s="2"/>
      <c r="W88" s="2"/>
      <c r="X88" s="2"/>
      <c r="Y88" s="2"/>
      <c r="Z88" s="2"/>
      <c r="AA88" s="2" t="s">
        <v>66</v>
      </c>
      <c r="AB88" s="2" t="s">
        <v>67</v>
      </c>
      <c r="AC88" s="2"/>
      <c r="AD88" s="2"/>
      <c r="AE88" s="2"/>
    </row>
    <row r="89" ht="15.75" customHeight="1">
      <c r="A89" s="2">
        <v>88.0</v>
      </c>
      <c r="B89" s="2" t="s">
        <v>291</v>
      </c>
      <c r="C89" s="2" t="s">
        <v>292</v>
      </c>
      <c r="D89" s="2" t="s">
        <v>33</v>
      </c>
      <c r="E89" s="2" t="s">
        <v>64</v>
      </c>
      <c r="F89" s="3" t="s">
        <v>35</v>
      </c>
      <c r="G89" s="2"/>
      <c r="H89" s="2" t="s">
        <v>64</v>
      </c>
      <c r="I89" s="2" t="s">
        <v>36</v>
      </c>
      <c r="J89" s="2" t="s">
        <v>37</v>
      </c>
      <c r="K89" s="4" t="str">
        <f>HYPERLINK("http://books.google.com.mx/books?id=Foo5tAEACAAJ&amp;dq=A+new+pocket-dictionary+of+the+englissh+and+german+languages+Williams,+Frank&amp;hl=&amp;as_pt=BOOKS&amp;source=gbs_api","Abrir enlace")</f>
        <v>Abrir enlace</v>
      </c>
      <c r="L89" s="2" t="s">
        <v>293</v>
      </c>
      <c r="M89" s="2"/>
      <c r="N89" s="2" t="s">
        <v>39</v>
      </c>
      <c r="O89" s="2"/>
      <c r="P89" s="4" t="str">
        <f>HYPERLINK("http://books.google.com.mx/books?id=Foo5tAEACAAJ&amp;dq=A+new+pocket-dictionary+of+the+englissh+and+german+languages+Williams,+Frank&amp;hl=&amp;as_pt=BOOKS&amp;source=gbs_api","Abrir enlace")</f>
        <v>Abrir enlace</v>
      </c>
      <c r="Q89" s="2"/>
      <c r="R89" s="2"/>
      <c r="S89" s="2"/>
      <c r="T89" s="2"/>
      <c r="U89" s="2"/>
      <c r="V89" s="2"/>
      <c r="W89" s="2"/>
      <c r="X89" s="2"/>
      <c r="Y89" s="2"/>
      <c r="Z89" s="2"/>
      <c r="AA89" s="2" t="s">
        <v>66</v>
      </c>
      <c r="AB89" s="2" t="s">
        <v>67</v>
      </c>
      <c r="AC89" s="2"/>
      <c r="AD89" s="2"/>
      <c r="AE89" s="2"/>
    </row>
    <row r="90" ht="15.75" customHeight="1">
      <c r="A90" s="2">
        <v>89.0</v>
      </c>
      <c r="B90" s="2" t="s">
        <v>294</v>
      </c>
      <c r="C90" s="2"/>
      <c r="D90" s="2" t="s">
        <v>49</v>
      </c>
      <c r="E90" s="2" t="s">
        <v>34</v>
      </c>
      <c r="F90" s="3" t="s">
        <v>35</v>
      </c>
      <c r="G90" s="2"/>
      <c r="H90" s="2" t="s">
        <v>34</v>
      </c>
      <c r="I90" s="2" t="s">
        <v>36</v>
      </c>
      <c r="J90" s="2" t="s">
        <v>37</v>
      </c>
      <c r="K90" s="4" t="str">
        <f>HYPERLINK("http://books.google.com.mx/books?id=QUk6RAAACAAJ&amp;dq=La+Italia+roja+:+Historia+de+las+revoluciones&amp;hl=&amp;as_pt=BOOKS&amp;source=gbs_api","Abrir enlace")</f>
        <v>Abrir enlace</v>
      </c>
      <c r="L90" s="2" t="s">
        <v>295</v>
      </c>
      <c r="M90" s="2"/>
      <c r="N90" s="2" t="s">
        <v>39</v>
      </c>
      <c r="O90" s="2"/>
      <c r="P90" s="4" t="str">
        <f>HYPERLINK("http://books.google.com.mx/books?id=QUk6RAAACAAJ&amp;dq=La+Italia+roja+:+Historia+de+las+revoluciones&amp;hl=&amp;as_pt=BOOKS&amp;source=gbs_api","Abrir enlace")</f>
        <v>Abrir enlace</v>
      </c>
      <c r="Q90" s="2"/>
      <c r="R90" s="2"/>
      <c r="S90" s="2"/>
      <c r="T90" s="2"/>
      <c r="U90" s="2"/>
      <c r="V90" s="2"/>
      <c r="W90" s="2"/>
      <c r="X90" s="2"/>
      <c r="Y90" s="2"/>
      <c r="Z90" s="2"/>
      <c r="AA90" s="2" t="s">
        <v>51</v>
      </c>
      <c r="AB90" s="2" t="s">
        <v>41</v>
      </c>
      <c r="AC90" s="2"/>
      <c r="AD90" s="2"/>
      <c r="AE90" s="2"/>
    </row>
    <row r="91" ht="15.75" customHeight="1">
      <c r="A91" s="2">
        <v>90.0</v>
      </c>
      <c r="B91" s="2" t="s">
        <v>296</v>
      </c>
      <c r="C91" s="2" t="s">
        <v>297</v>
      </c>
      <c r="D91" s="2" t="s">
        <v>33</v>
      </c>
      <c r="E91" s="2" t="s">
        <v>34</v>
      </c>
      <c r="F91" s="3" t="s">
        <v>35</v>
      </c>
      <c r="G91" s="2"/>
      <c r="H91" s="2" t="s">
        <v>34</v>
      </c>
      <c r="I91" s="2" t="s">
        <v>36</v>
      </c>
      <c r="J91" s="2" t="s">
        <v>37</v>
      </c>
      <c r="K91" s="4" t="str">
        <f>HYPERLINK("https://openlibrary.org/works/OL37658167W","Abrir enlace")</f>
        <v>Abrir enlace</v>
      </c>
      <c r="L91" s="2" t="s">
        <v>298</v>
      </c>
      <c r="M91" s="2"/>
      <c r="N91" s="2" t="s">
        <v>45</v>
      </c>
      <c r="O91" s="2"/>
      <c r="P91" s="4" t="str">
        <f>HYPERLINK("https://openlibrary.org/works/OL37658167W","Abrir enlace")</f>
        <v>Abrir enlace</v>
      </c>
      <c r="Q91" s="2"/>
      <c r="R91" s="2"/>
      <c r="S91" s="2"/>
      <c r="T91" s="2"/>
      <c r="U91" s="2"/>
      <c r="V91" s="2"/>
      <c r="W91" s="2"/>
      <c r="X91" s="2"/>
      <c r="Y91" s="2"/>
      <c r="Z91" s="2"/>
      <c r="AA91" s="2" t="s">
        <v>40</v>
      </c>
      <c r="AB91" s="2" t="s">
        <v>41</v>
      </c>
      <c r="AC91" s="2"/>
      <c r="AD91" s="2"/>
      <c r="AE91" s="2"/>
    </row>
    <row r="92" ht="15.75" customHeight="1">
      <c r="A92" s="2">
        <v>91.0</v>
      </c>
      <c r="B92" s="2" t="s">
        <v>299</v>
      </c>
      <c r="C92" s="2" t="s">
        <v>300</v>
      </c>
      <c r="D92" s="2" t="s">
        <v>33</v>
      </c>
      <c r="E92" s="2" t="s">
        <v>64</v>
      </c>
      <c r="F92" s="3" t="s">
        <v>35</v>
      </c>
      <c r="G92" s="2"/>
      <c r="H92" s="2" t="s">
        <v>64</v>
      </c>
      <c r="I92" s="2" t="s">
        <v>36</v>
      </c>
      <c r="J92" s="2" t="s">
        <v>37</v>
      </c>
      <c r="K92" s="4" t="str">
        <f>HYPERLINK("https://play.google.com/store/books/details?id=qLKq0fg8fS0C&amp;source=gbs_api","Abrir enlace")</f>
        <v>Abrir enlace</v>
      </c>
      <c r="L92" s="2" t="s">
        <v>301</v>
      </c>
      <c r="M92" s="2"/>
      <c r="N92" s="2" t="s">
        <v>39</v>
      </c>
      <c r="O92" s="2"/>
      <c r="P92" s="4" t="str">
        <f>HYPERLINK("https://play.google.com/store/books/details?id=qLKq0fg8fS0C&amp;source=gbs_api","Abrir enlace")</f>
        <v>Abrir enlace</v>
      </c>
      <c r="Q92" s="2"/>
      <c r="R92" s="2"/>
      <c r="S92" s="2"/>
      <c r="T92" s="2"/>
      <c r="U92" s="2"/>
      <c r="V92" s="2"/>
      <c r="W92" s="2"/>
      <c r="X92" s="2"/>
      <c r="Y92" s="2"/>
      <c r="Z92" s="2"/>
      <c r="AA92" s="2" t="s">
        <v>60</v>
      </c>
      <c r="AB92" s="2" t="s">
        <v>67</v>
      </c>
      <c r="AC92" s="2"/>
      <c r="AD92" s="2"/>
      <c r="AE92" s="2"/>
    </row>
    <row r="93" ht="15.75" customHeight="1">
      <c r="A93" s="2">
        <v>92.0</v>
      </c>
      <c r="B93" s="2" t="s">
        <v>302</v>
      </c>
      <c r="C93" s="2" t="s">
        <v>303</v>
      </c>
      <c r="D93" s="2" t="s">
        <v>165</v>
      </c>
      <c r="E93" s="2" t="s">
        <v>64</v>
      </c>
      <c r="F93" s="3" t="s">
        <v>35</v>
      </c>
      <c r="G93" s="2"/>
      <c r="H93" s="2" t="s">
        <v>64</v>
      </c>
      <c r="I93" s="2" t="s">
        <v>36</v>
      </c>
      <c r="J93" s="2" t="s">
        <v>37</v>
      </c>
      <c r="K93" s="4" t="str">
        <f>HYPERLINK("https://play.google.com/store/books/details?id=zndJAQAAMAAJ&amp;source=gbs_api","Abrir enlace")</f>
        <v>Abrir enlace</v>
      </c>
      <c r="L93" s="2" t="s">
        <v>304</v>
      </c>
      <c r="M93" s="2"/>
      <c r="N93" s="2" t="s">
        <v>39</v>
      </c>
      <c r="O93" s="2"/>
      <c r="P93" s="4" t="str">
        <f>HYPERLINK("https://play.google.com/store/books/details?id=zndJAQAAMAAJ&amp;source=gbs_api","Abrir enlace")</f>
        <v>Abrir enlace</v>
      </c>
      <c r="Q93" s="2"/>
      <c r="R93" s="2"/>
      <c r="S93" s="2"/>
      <c r="T93" s="2"/>
      <c r="U93" s="2"/>
      <c r="V93" s="2"/>
      <c r="W93" s="2"/>
      <c r="X93" s="2"/>
      <c r="Y93" s="2"/>
      <c r="Z93" s="2"/>
      <c r="AA93" s="2" t="s">
        <v>60</v>
      </c>
      <c r="AB93" s="2" t="s">
        <v>67</v>
      </c>
      <c r="AC93" s="2"/>
      <c r="AD93" s="2"/>
      <c r="AE93" s="2"/>
    </row>
    <row r="94" ht="15.75" customHeight="1">
      <c r="A94" s="2">
        <v>93.0</v>
      </c>
      <c r="B94" s="2" t="s">
        <v>305</v>
      </c>
      <c r="C94" s="2" t="s">
        <v>306</v>
      </c>
      <c r="D94" s="2" t="s">
        <v>33</v>
      </c>
      <c r="E94" s="2" t="s">
        <v>70</v>
      </c>
      <c r="F94" s="3" t="s">
        <v>35</v>
      </c>
      <c r="G94" s="2"/>
      <c r="H94" s="2" t="s">
        <v>70</v>
      </c>
      <c r="I94" s="2" t="s">
        <v>168</v>
      </c>
      <c r="J94" s="2" t="s">
        <v>307</v>
      </c>
      <c r="K94" s="4" t="str">
        <f>HYPERLINK("https://archive.org/details/b29347828","Abrir enlace")</f>
        <v>Abrir enlace</v>
      </c>
      <c r="L94" s="2" t="s">
        <v>308</v>
      </c>
      <c r="M94" s="2"/>
      <c r="N94" s="2" t="s">
        <v>54</v>
      </c>
      <c r="O94" s="2"/>
      <c r="P94" s="4" t="str">
        <f>HYPERLINK("https://archive.org/details/b29347828","Abrir enlace")</f>
        <v>Abrir enlace</v>
      </c>
      <c r="Q94" s="2"/>
      <c r="R94" s="2"/>
      <c r="S94" s="2"/>
      <c r="T94" s="2"/>
      <c r="U94" s="2"/>
      <c r="V94" s="2"/>
      <c r="W94" s="2"/>
      <c r="X94" s="2"/>
      <c r="Y94" s="2"/>
      <c r="Z94" s="2"/>
      <c r="AA94" s="2" t="s">
        <v>40</v>
      </c>
      <c r="AB94" s="2" t="s">
        <v>309</v>
      </c>
      <c r="AC94" s="2"/>
      <c r="AD94" s="2"/>
      <c r="AE94" s="2"/>
    </row>
    <row r="95" ht="15.75" customHeight="1">
      <c r="A95" s="2">
        <v>94.0</v>
      </c>
      <c r="B95" s="2" t="s">
        <v>310</v>
      </c>
      <c r="C95" s="2" t="s">
        <v>311</v>
      </c>
      <c r="D95" s="2" t="s">
        <v>33</v>
      </c>
      <c r="E95" s="2" t="s">
        <v>70</v>
      </c>
      <c r="F95" s="3" t="s">
        <v>35</v>
      </c>
      <c r="G95" s="2"/>
      <c r="H95" s="2" t="s">
        <v>70</v>
      </c>
      <c r="I95" s="2" t="s">
        <v>36</v>
      </c>
      <c r="J95" s="2" t="s">
        <v>37</v>
      </c>
      <c r="K95" s="4" t="str">
        <f>HYPERLINK("https://openlibrary.org/works/OL24979150W","Abrir enlace")</f>
        <v>Abrir enlace</v>
      </c>
      <c r="L95" s="2" t="s">
        <v>312</v>
      </c>
      <c r="M95" s="2"/>
      <c r="N95" s="2" t="s">
        <v>45</v>
      </c>
      <c r="O95" s="2"/>
      <c r="P95" s="4" t="str">
        <f>HYPERLINK("https://openlibrary.org/works/OL24979150W","Abrir enlace")</f>
        <v>Abrir enlace</v>
      </c>
      <c r="Q95" s="2"/>
      <c r="R95" s="2"/>
      <c r="S95" s="2"/>
      <c r="T95" s="2"/>
      <c r="U95" s="2"/>
      <c r="V95" s="2"/>
      <c r="W95" s="2"/>
      <c r="X95" s="2"/>
      <c r="Y95" s="2"/>
      <c r="Z95" s="2"/>
      <c r="AA95" s="2" t="s">
        <v>40</v>
      </c>
      <c r="AB95" s="2" t="s">
        <v>72</v>
      </c>
      <c r="AC95" s="2"/>
      <c r="AD95" s="2"/>
      <c r="AE95" s="2"/>
    </row>
    <row r="96" ht="15.75" customHeight="1">
      <c r="A96" s="2">
        <v>95.0</v>
      </c>
      <c r="B96" s="2" t="s">
        <v>313</v>
      </c>
      <c r="C96" s="2" t="s">
        <v>127</v>
      </c>
      <c r="D96" s="2" t="s">
        <v>33</v>
      </c>
      <c r="E96" s="2" t="s">
        <v>64</v>
      </c>
      <c r="F96" s="3" t="s">
        <v>35</v>
      </c>
      <c r="G96" s="2"/>
      <c r="H96" s="2" t="s">
        <v>64</v>
      </c>
      <c r="I96" s="2" t="s">
        <v>36</v>
      </c>
      <c r="J96" s="2" t="s">
        <v>37</v>
      </c>
      <c r="K96" s="4" t="str">
        <f>HYPERLINK("http://books.google.com.mx/books?id=I1qFzwEACAAJ&amp;dq=La+divine+com%C3%A9die&amp;hl=&amp;as_pt=BOOKS&amp;source=gbs_api","Abrir enlace")</f>
        <v>Abrir enlace</v>
      </c>
      <c r="L96" s="2" t="s">
        <v>314</v>
      </c>
      <c r="M96" s="2"/>
      <c r="N96" s="2" t="s">
        <v>39</v>
      </c>
      <c r="O96" s="2"/>
      <c r="P96" s="4" t="str">
        <f>HYPERLINK("http://books.google.com.mx/books?id=I1qFzwEACAAJ&amp;dq=La+divine+com%C3%A9die&amp;hl=&amp;as_pt=BOOKS&amp;source=gbs_api","Abrir enlace")</f>
        <v>Abrir enlace</v>
      </c>
      <c r="Q96" s="2"/>
      <c r="R96" s="2"/>
      <c r="S96" s="2"/>
      <c r="T96" s="2"/>
      <c r="U96" s="2"/>
      <c r="V96" s="2"/>
      <c r="W96" s="2"/>
      <c r="X96" s="2"/>
      <c r="Y96" s="2"/>
      <c r="Z96" s="2"/>
      <c r="AA96" s="2" t="s">
        <v>40</v>
      </c>
      <c r="AB96" s="2" t="s">
        <v>67</v>
      </c>
      <c r="AC96" s="2"/>
      <c r="AD96" s="2"/>
      <c r="AE96" s="2"/>
    </row>
    <row r="97" ht="15.75" customHeight="1">
      <c r="A97" s="2">
        <v>96.0</v>
      </c>
      <c r="B97" s="2" t="s">
        <v>315</v>
      </c>
      <c r="C97" s="2" t="s">
        <v>316</v>
      </c>
      <c r="D97" s="2" t="s">
        <v>33</v>
      </c>
      <c r="E97" s="2" t="s">
        <v>70</v>
      </c>
      <c r="F97" s="3" t="s">
        <v>35</v>
      </c>
      <c r="G97" s="2"/>
      <c r="H97" s="2" t="s">
        <v>70</v>
      </c>
      <c r="I97" s="2" t="s">
        <v>36</v>
      </c>
      <c r="J97" s="2" t="s">
        <v>37</v>
      </c>
      <c r="K97" s="4" t="str">
        <f>HYPERLINK("https://archive.org/details/lefonddelamer00sonrgoog","Abrir enlace")</f>
        <v>Abrir enlace</v>
      </c>
      <c r="L97" s="2" t="s">
        <v>315</v>
      </c>
      <c r="M97" s="2"/>
      <c r="N97" s="2" t="s">
        <v>54</v>
      </c>
      <c r="O97" s="2"/>
      <c r="P97" s="4" t="str">
        <f>HYPERLINK("https://archive.org/details/lefonddelamer00sonrgoog","Abrir enlace")</f>
        <v>Abrir enlace</v>
      </c>
      <c r="Q97" s="2"/>
      <c r="R97" s="2"/>
      <c r="S97" s="2"/>
      <c r="T97" s="2"/>
      <c r="U97" s="2"/>
      <c r="V97" s="2"/>
      <c r="W97" s="2"/>
      <c r="X97" s="2"/>
      <c r="Y97" s="2"/>
      <c r="Z97" s="2"/>
      <c r="AA97" s="2" t="s">
        <v>40</v>
      </c>
      <c r="AB97" s="2" t="s">
        <v>72</v>
      </c>
      <c r="AC97" s="2"/>
      <c r="AD97" s="2"/>
      <c r="AE97" s="2"/>
    </row>
    <row r="98" ht="15.75" customHeight="1">
      <c r="A98" s="2">
        <v>97.0</v>
      </c>
      <c r="B98" s="2" t="s">
        <v>317</v>
      </c>
      <c r="C98" s="2" t="s">
        <v>318</v>
      </c>
      <c r="D98" s="2" t="s">
        <v>33</v>
      </c>
      <c r="E98" s="2" t="s">
        <v>64</v>
      </c>
      <c r="F98" s="3" t="s">
        <v>35</v>
      </c>
      <c r="G98" s="2"/>
      <c r="H98" s="2" t="s">
        <v>64</v>
      </c>
      <c r="I98" s="2" t="s">
        <v>36</v>
      </c>
      <c r="J98" s="2" t="s">
        <v>37</v>
      </c>
      <c r="K98" s="4" t="str">
        <f>HYPERLINK("http://books.google.com.mx/books?id=EEFlQwAACAAJ&amp;dq=Les+auteurs+latins+:+Expliqu%C3%A9s+d%27apr%C3%A8s+une+m%C3%A9thode+nouvelle+Cic%C3%A9ron&amp;hl=&amp;as_pt=BOOKS&amp;source=gbs_api","Abrir enlace")</f>
        <v>Abrir enlace</v>
      </c>
      <c r="L98" s="2" t="s">
        <v>319</v>
      </c>
      <c r="M98" s="2"/>
      <c r="N98" s="2" t="s">
        <v>39</v>
      </c>
      <c r="O98" s="2"/>
      <c r="P98" s="4" t="str">
        <f>HYPERLINK("http://books.google.com.mx/books?id=EEFlQwAACAAJ&amp;dq=Les+auteurs+latins+:+Expliqu%C3%A9s+d%27apr%C3%A8s+une+m%C3%A9thode+nouvelle+Cic%C3%A9ron&amp;hl=&amp;as_pt=BOOKS&amp;source=gbs_api","Abrir enlace")</f>
        <v>Abrir enlace</v>
      </c>
      <c r="Q98" s="2"/>
      <c r="R98" s="2"/>
      <c r="S98" s="2"/>
      <c r="T98" s="2"/>
      <c r="U98" s="2"/>
      <c r="V98" s="2"/>
      <c r="W98" s="2"/>
      <c r="X98" s="2"/>
      <c r="Y98" s="2"/>
      <c r="Z98" s="2"/>
      <c r="AA98" s="2" t="s">
        <v>40</v>
      </c>
      <c r="AB98" s="2" t="s">
        <v>67</v>
      </c>
      <c r="AC98" s="2"/>
      <c r="AD98" s="2"/>
      <c r="AE98" s="2"/>
    </row>
    <row r="99" ht="15.75" customHeight="1">
      <c r="A99" s="2">
        <v>98.0</v>
      </c>
      <c r="B99" s="2" t="s">
        <v>320</v>
      </c>
      <c r="C99" s="2"/>
      <c r="D99" s="2" t="s">
        <v>99</v>
      </c>
      <c r="E99" s="2" t="s">
        <v>70</v>
      </c>
      <c r="F99" s="2" t="s">
        <v>35</v>
      </c>
      <c r="G99" s="2"/>
      <c r="H99" s="2" t="s">
        <v>70</v>
      </c>
      <c r="I99" s="2" t="s">
        <v>189</v>
      </c>
      <c r="J99" s="2" t="s">
        <v>321</v>
      </c>
      <c r="K99" s="4" t="str">
        <f>HYPERLINK("https://www.gracesguide.co.uk/Piggott_Brothers_and_Co","Abrir enlace")</f>
        <v>Abrir enlace</v>
      </c>
      <c r="L99" s="2" t="s">
        <v>322</v>
      </c>
      <c r="M99" s="2"/>
      <c r="N99" s="2" t="s">
        <v>91</v>
      </c>
      <c r="O99" s="2" t="s">
        <v>323</v>
      </c>
      <c r="P99" s="4" t="str">
        <f>HYPERLINK("https://www.gracesguide.co.uk/Piggott_Brothers_and_Co","Abrir enlace")</f>
        <v>Abrir enlace</v>
      </c>
      <c r="Q99" s="2" t="s">
        <v>324</v>
      </c>
      <c r="R99" s="2"/>
      <c r="S99" s="2" t="s">
        <v>91</v>
      </c>
      <c r="T99" s="2" t="s">
        <v>325</v>
      </c>
      <c r="U99" s="4" t="str">
        <f>HYPERLINK("https://highcountryhistorygroup.org/articles/shopping-at-piggott-brothers-co/","Abrir enlace")</f>
        <v>Abrir enlace</v>
      </c>
      <c r="V99" s="2" t="s">
        <v>326</v>
      </c>
      <c r="W99" s="2"/>
      <c r="X99" s="2" t="s">
        <v>91</v>
      </c>
      <c r="Y99" s="2" t="s">
        <v>327</v>
      </c>
      <c r="Z99" s="4" t="str">
        <f>HYPERLINK("https://spitalfieldslife.com/2021/04/12/piggott-bros-of-bishopsgate/","Abrir enlace")</f>
        <v>Abrir enlace</v>
      </c>
      <c r="AA99" s="2"/>
      <c r="AB99" s="2"/>
      <c r="AC99" s="2"/>
      <c r="AD99" s="2"/>
      <c r="AE99" s="2" t="s">
        <v>222</v>
      </c>
    </row>
    <row r="100" ht="15.75" customHeight="1">
      <c r="A100" s="2">
        <v>99.0</v>
      </c>
      <c r="B100" s="2" t="s">
        <v>328</v>
      </c>
      <c r="C100" s="2" t="s">
        <v>329</v>
      </c>
      <c r="D100" s="2" t="s">
        <v>33</v>
      </c>
      <c r="E100" s="2" t="s">
        <v>70</v>
      </c>
      <c r="F100" s="3" t="s">
        <v>35</v>
      </c>
      <c r="G100" s="2"/>
      <c r="H100" s="2" t="s">
        <v>70</v>
      </c>
      <c r="I100" s="2" t="s">
        <v>36</v>
      </c>
      <c r="J100" s="2" t="s">
        <v>37</v>
      </c>
      <c r="K100" s="4" t="str">
        <f>HYPERLINK("https://archive.org/details/dli.ministry.12099","Abrir enlace")</f>
        <v>Abrir enlace</v>
      </c>
      <c r="L100" s="2" t="s">
        <v>328</v>
      </c>
      <c r="M100" s="2"/>
      <c r="N100" s="2" t="s">
        <v>54</v>
      </c>
      <c r="O100" s="2"/>
      <c r="P100" s="4" t="str">
        <f>HYPERLINK("https://archive.org/details/dli.ministry.12099","Abrir enlace")</f>
        <v>Abrir enlace</v>
      </c>
      <c r="Q100" s="2"/>
      <c r="R100" s="2"/>
      <c r="S100" s="2"/>
      <c r="T100" s="2"/>
      <c r="U100" s="2"/>
      <c r="V100" s="2"/>
      <c r="W100" s="2"/>
      <c r="X100" s="2"/>
      <c r="Y100" s="2"/>
      <c r="Z100" s="2"/>
      <c r="AA100" s="2" t="s">
        <v>66</v>
      </c>
      <c r="AB100" s="2" t="s">
        <v>72</v>
      </c>
      <c r="AC100" s="2"/>
      <c r="AD100" s="2"/>
      <c r="AE100" s="2"/>
    </row>
    <row r="101" ht="15.75" customHeight="1">
      <c r="A101" s="2">
        <v>100.0</v>
      </c>
      <c r="B101" s="2" t="s">
        <v>330</v>
      </c>
      <c r="C101" s="2" t="s">
        <v>331</v>
      </c>
      <c r="D101" s="2" t="s">
        <v>33</v>
      </c>
      <c r="E101" s="2" t="s">
        <v>70</v>
      </c>
      <c r="F101" s="3" t="s">
        <v>35</v>
      </c>
      <c r="G101" s="2"/>
      <c r="H101" s="2" t="s">
        <v>70</v>
      </c>
      <c r="I101" s="2" t="s">
        <v>36</v>
      </c>
      <c r="J101" s="2" t="s">
        <v>37</v>
      </c>
      <c r="K101" s="4" t="str">
        <f>HYPERLINK("https://archive.org/details/compendiodelmanu00carr","Abrir enlace")</f>
        <v>Abrir enlace</v>
      </c>
      <c r="L101" s="2" t="s">
        <v>332</v>
      </c>
      <c r="M101" s="2"/>
      <c r="N101" s="2" t="s">
        <v>54</v>
      </c>
      <c r="O101" s="2"/>
      <c r="P101" s="4" t="str">
        <f>HYPERLINK("https://archive.org/details/compendiodelmanu00carr","Abrir enlace")</f>
        <v>Abrir enlace</v>
      </c>
      <c r="Q101" s="2"/>
      <c r="R101" s="2"/>
      <c r="S101" s="2"/>
      <c r="T101" s="2"/>
      <c r="U101" s="2"/>
      <c r="V101" s="2"/>
      <c r="W101" s="2"/>
      <c r="X101" s="2"/>
      <c r="Y101" s="2"/>
      <c r="Z101" s="2"/>
      <c r="AA101" s="2" t="s">
        <v>51</v>
      </c>
      <c r="AB101" s="2" t="s">
        <v>72</v>
      </c>
      <c r="AC101" s="2"/>
      <c r="AD101" s="2"/>
      <c r="AE101" s="2"/>
    </row>
    <row r="102" ht="15.75" customHeight="1">
      <c r="A102" s="2">
        <v>101.0</v>
      </c>
      <c r="B102" s="2" t="s">
        <v>333</v>
      </c>
      <c r="C102" s="2"/>
      <c r="D102" s="2" t="s">
        <v>33</v>
      </c>
      <c r="E102" s="2" t="s">
        <v>112</v>
      </c>
      <c r="F102" s="3" t="s">
        <v>35</v>
      </c>
      <c r="G102" s="2"/>
      <c r="H102" s="2" t="s">
        <v>112</v>
      </c>
      <c r="I102" s="2" t="s">
        <v>36</v>
      </c>
      <c r="J102" s="2" t="s">
        <v>37</v>
      </c>
      <c r="K102" s="4" t="str">
        <f>HYPERLINK("https://play.google.com/store/books/details?id=zK2WwijJrlkC&amp;source=gbs_api","Abrir enlace")</f>
        <v>Abrir enlace</v>
      </c>
      <c r="L102" s="2" t="s">
        <v>334</v>
      </c>
      <c r="M102" s="2"/>
      <c r="N102" s="2" t="s">
        <v>39</v>
      </c>
      <c r="O102" s="2"/>
      <c r="P102" s="4" t="str">
        <f>HYPERLINK("https://play.google.com/store/books/details?id=zK2WwijJrlkC&amp;source=gbs_api","Abrir enlace")</f>
        <v>Abrir enlace</v>
      </c>
      <c r="Q102" s="2"/>
      <c r="R102" s="2"/>
      <c r="S102" s="2"/>
      <c r="T102" s="2"/>
      <c r="U102" s="2"/>
      <c r="V102" s="2"/>
      <c r="W102" s="2"/>
      <c r="X102" s="2"/>
      <c r="Y102" s="2"/>
      <c r="Z102" s="2"/>
      <c r="AA102" s="2" t="s">
        <v>40</v>
      </c>
      <c r="AB102" s="2" t="s">
        <v>114</v>
      </c>
      <c r="AC102" s="2"/>
      <c r="AD102" s="2"/>
      <c r="AE102" s="2"/>
    </row>
    <row r="103" ht="15.75" customHeight="1">
      <c r="A103" s="2">
        <v>102.0</v>
      </c>
      <c r="B103" s="2" t="s">
        <v>335</v>
      </c>
      <c r="C103" s="2" t="s">
        <v>178</v>
      </c>
      <c r="D103" s="2" t="s">
        <v>33</v>
      </c>
      <c r="E103" s="2" t="s">
        <v>64</v>
      </c>
      <c r="F103" s="3" t="s">
        <v>35</v>
      </c>
      <c r="G103" s="2"/>
      <c r="H103" s="2" t="s">
        <v>64</v>
      </c>
      <c r="I103" s="2" t="s">
        <v>36</v>
      </c>
      <c r="J103" s="2" t="s">
        <v>37</v>
      </c>
      <c r="K103" s="4" t="str">
        <f>HYPERLINK("http://books.google.com.mx/books?id=vc85lNOymLoC&amp;dq=A+stormy+life+:+Queen+margaret%27s+journal+a+novel+Fullerton,+Georgiana&amp;hl=&amp;as_pt=BOOKS&amp;source=gbs_api","Abrir enlace")</f>
        <v>Abrir enlace</v>
      </c>
      <c r="L103" s="2" t="s">
        <v>336</v>
      </c>
      <c r="M103" s="2"/>
      <c r="N103" s="2" t="s">
        <v>39</v>
      </c>
      <c r="O103" s="2"/>
      <c r="P103" s="4" t="str">
        <f>HYPERLINK("http://books.google.com.mx/books?id=vc85lNOymLoC&amp;dq=A+stormy+life+:+Queen+margaret%27s+journal+a+novel+Fullerton,+Georgiana&amp;hl=&amp;as_pt=BOOKS&amp;source=gbs_api","Abrir enlace")</f>
        <v>Abrir enlace</v>
      </c>
      <c r="Q103" s="2"/>
      <c r="R103" s="2"/>
      <c r="S103" s="2"/>
      <c r="T103" s="2"/>
      <c r="U103" s="2"/>
      <c r="V103" s="2"/>
      <c r="W103" s="2"/>
      <c r="X103" s="2"/>
      <c r="Y103" s="2"/>
      <c r="Z103" s="2"/>
      <c r="AA103" s="2" t="s">
        <v>66</v>
      </c>
      <c r="AB103" s="2" t="s">
        <v>67</v>
      </c>
      <c r="AC103" s="2"/>
      <c r="AD103" s="2"/>
      <c r="AE103" s="2"/>
    </row>
    <row r="104" ht="15.75" customHeight="1">
      <c r="A104" s="2">
        <v>103.0</v>
      </c>
      <c r="B104" s="2" t="s">
        <v>337</v>
      </c>
      <c r="C104" s="2" t="s">
        <v>338</v>
      </c>
      <c r="D104" s="2" t="s">
        <v>33</v>
      </c>
      <c r="E104" s="2" t="s">
        <v>70</v>
      </c>
      <c r="F104" s="3" t="s">
        <v>35</v>
      </c>
      <c r="G104" s="2"/>
      <c r="H104" s="2" t="s">
        <v>70</v>
      </c>
      <c r="I104" s="2" t="s">
        <v>36</v>
      </c>
      <c r="J104" s="2" t="s">
        <v>37</v>
      </c>
      <c r="K104" s="4" t="str">
        <f>HYPERLINK("https://archive.org/details/bub_gb_E1pUjX6gY_gC","Abrir enlace")</f>
        <v>Abrir enlace</v>
      </c>
      <c r="L104" s="2" t="s">
        <v>339</v>
      </c>
      <c r="M104" s="2"/>
      <c r="N104" s="2" t="s">
        <v>54</v>
      </c>
      <c r="O104" s="2"/>
      <c r="P104" s="4" t="str">
        <f>HYPERLINK("https://archive.org/details/bub_gb_E1pUjX6gY_gC","Abrir enlace")</f>
        <v>Abrir enlace</v>
      </c>
      <c r="Q104" s="2"/>
      <c r="R104" s="2"/>
      <c r="S104" s="2"/>
      <c r="T104" s="2"/>
      <c r="U104" s="2"/>
      <c r="V104" s="2"/>
      <c r="W104" s="2"/>
      <c r="X104" s="2"/>
      <c r="Y104" s="2"/>
      <c r="Z104" s="2"/>
      <c r="AA104" s="2" t="s">
        <v>60</v>
      </c>
      <c r="AB104" s="2" t="s">
        <v>72</v>
      </c>
      <c r="AC104" s="2"/>
      <c r="AD104" s="2"/>
      <c r="AE104" s="2"/>
    </row>
    <row r="105" ht="15.75" customHeight="1">
      <c r="A105" s="2">
        <v>104.0</v>
      </c>
      <c r="B105" s="2" t="s">
        <v>340</v>
      </c>
      <c r="C105" s="2"/>
      <c r="D105" s="2" t="s">
        <v>33</v>
      </c>
      <c r="E105" s="2" t="s">
        <v>34</v>
      </c>
      <c r="F105" s="3" t="s">
        <v>35</v>
      </c>
      <c r="G105" s="2"/>
      <c r="H105" s="2" t="s">
        <v>34</v>
      </c>
      <c r="I105" s="2" t="s">
        <v>36</v>
      </c>
      <c r="J105" s="2" t="s">
        <v>341</v>
      </c>
      <c r="K105" s="4" t="str">
        <f>HYPERLINK("http://books.google.com.mx/books?id=iGxT0AEACAAJ&amp;dq=Genni+biografici+del+sacerdote+Jacopo+Straker+:+Missionario&amp;hl=&amp;as_pt=BOOKS&amp;source=gbs_api","Abrir enlace")</f>
        <v>Abrir enlace</v>
      </c>
      <c r="L105" s="2" t="s">
        <v>342</v>
      </c>
      <c r="M105" s="2"/>
      <c r="N105" s="2" t="s">
        <v>39</v>
      </c>
      <c r="O105" s="2"/>
      <c r="P105" s="4" t="str">
        <f>HYPERLINK("http://books.google.com.mx/books?id=iGxT0AEACAAJ&amp;dq=Genni+biografici+del+sacerdote+Jacopo+Straker+:+Missionario&amp;hl=&amp;as_pt=BOOKS&amp;source=gbs_api","Abrir enlace")</f>
        <v>Abrir enlace</v>
      </c>
      <c r="Q105" s="2"/>
      <c r="R105" s="2"/>
      <c r="S105" s="2"/>
      <c r="T105" s="2"/>
      <c r="U105" s="2"/>
      <c r="V105" s="2"/>
      <c r="W105" s="2"/>
      <c r="X105" s="2"/>
      <c r="Y105" s="2"/>
      <c r="Z105" s="2"/>
      <c r="AA105" s="2" t="s">
        <v>60</v>
      </c>
      <c r="AB105" s="2" t="s">
        <v>343</v>
      </c>
      <c r="AC105" s="2"/>
      <c r="AD105" s="2"/>
      <c r="AE105" s="2"/>
    </row>
    <row r="106" ht="15.75" customHeight="1">
      <c r="A106" s="2">
        <v>105.0</v>
      </c>
      <c r="B106" s="2" t="s">
        <v>344</v>
      </c>
      <c r="C106" s="2" t="s">
        <v>345</v>
      </c>
      <c r="D106" s="2" t="s">
        <v>33</v>
      </c>
      <c r="E106" s="2" t="s">
        <v>112</v>
      </c>
      <c r="F106" s="3" t="s">
        <v>35</v>
      </c>
      <c r="G106" s="2"/>
      <c r="H106" s="2" t="s">
        <v>112</v>
      </c>
      <c r="I106" s="2" t="s">
        <v>36</v>
      </c>
      <c r="J106" s="2" t="s">
        <v>37</v>
      </c>
      <c r="K106" s="4" t="str">
        <f>HYPERLINK("https://archive.org/details/ThePrisonersOfTheKing","Abrir enlace")</f>
        <v>Abrir enlace</v>
      </c>
      <c r="L106" s="2" t="s">
        <v>346</v>
      </c>
      <c r="M106" s="2"/>
      <c r="N106" s="2" t="s">
        <v>54</v>
      </c>
      <c r="O106" s="2"/>
      <c r="P106" s="4" t="str">
        <f>HYPERLINK("https://archive.org/details/ThePrisonersOfTheKing","Abrir enlace")</f>
        <v>Abrir enlace</v>
      </c>
      <c r="Q106" s="2"/>
      <c r="R106" s="2"/>
      <c r="S106" s="2"/>
      <c r="T106" s="2"/>
      <c r="U106" s="2"/>
      <c r="V106" s="2"/>
      <c r="W106" s="2"/>
      <c r="X106" s="2"/>
      <c r="Y106" s="2"/>
      <c r="Z106" s="2"/>
      <c r="AA106" s="2" t="s">
        <v>66</v>
      </c>
      <c r="AB106" s="2" t="s">
        <v>114</v>
      </c>
      <c r="AC106" s="2"/>
      <c r="AD106" s="2"/>
      <c r="AE106" s="2"/>
    </row>
    <row r="107" ht="15.75" customHeight="1">
      <c r="A107" s="2">
        <v>106.0</v>
      </c>
      <c r="B107" s="2" t="s">
        <v>347</v>
      </c>
      <c r="C107" s="2" t="s">
        <v>348</v>
      </c>
      <c r="D107" s="2" t="s">
        <v>33</v>
      </c>
      <c r="E107" s="2" t="s">
        <v>64</v>
      </c>
      <c r="F107" s="3" t="s">
        <v>35</v>
      </c>
      <c r="G107" s="2"/>
      <c r="H107" s="2" t="s">
        <v>64</v>
      </c>
      <c r="I107" s="2" t="s">
        <v>36</v>
      </c>
      <c r="J107" s="2" t="s">
        <v>37</v>
      </c>
      <c r="K107" s="4" t="str">
        <f>HYPERLINK("https://archive.org/details/poemsofadelaidea0000char","Abrir enlace")</f>
        <v>Abrir enlace</v>
      </c>
      <c r="L107" s="2" t="s">
        <v>349</v>
      </c>
      <c r="M107" s="2"/>
      <c r="N107" s="2" t="s">
        <v>54</v>
      </c>
      <c r="O107" s="2"/>
      <c r="P107" s="4" t="str">
        <f>HYPERLINK("https://archive.org/details/poemsofadelaidea0000char","Abrir enlace")</f>
        <v>Abrir enlace</v>
      </c>
      <c r="Q107" s="2"/>
      <c r="R107" s="2"/>
      <c r="S107" s="2"/>
      <c r="T107" s="2"/>
      <c r="U107" s="2"/>
      <c r="V107" s="2"/>
      <c r="W107" s="2"/>
      <c r="X107" s="2"/>
      <c r="Y107" s="2"/>
      <c r="Z107" s="2"/>
      <c r="AA107" s="2" t="s">
        <v>66</v>
      </c>
      <c r="AB107" s="2" t="s">
        <v>67</v>
      </c>
      <c r="AC107" s="2"/>
      <c r="AD107" s="2"/>
      <c r="AE107" s="2"/>
    </row>
    <row r="108" ht="15.75" customHeight="1">
      <c r="A108" s="2">
        <v>107.0</v>
      </c>
      <c r="B108" s="2" t="s">
        <v>350</v>
      </c>
      <c r="C108" s="2" t="s">
        <v>345</v>
      </c>
      <c r="D108" s="2" t="s">
        <v>33</v>
      </c>
      <c r="E108" s="2" t="s">
        <v>34</v>
      </c>
      <c r="F108" s="3" t="s">
        <v>35</v>
      </c>
      <c r="G108" s="2"/>
      <c r="H108" s="2" t="s">
        <v>34</v>
      </c>
      <c r="I108" s="2" t="s">
        <v>36</v>
      </c>
      <c r="J108" s="2" t="s">
        <v>37</v>
      </c>
      <c r="K108" s="4" t="str">
        <f>HYPERLINK("https://archive.org/details/2edlifeofladygeo00cravuoft","Abrir enlace")</f>
        <v>Abrir enlace</v>
      </c>
      <c r="L108" s="2" t="s">
        <v>351</v>
      </c>
      <c r="M108" s="2"/>
      <c r="N108" s="2" t="s">
        <v>54</v>
      </c>
      <c r="O108" s="2"/>
      <c r="P108" s="4" t="str">
        <f>HYPERLINK("https://archive.org/details/2edlifeofladygeo00cravuoft","Abrir enlace")</f>
        <v>Abrir enlace</v>
      </c>
      <c r="Q108" s="2"/>
      <c r="R108" s="2"/>
      <c r="S108" s="2"/>
      <c r="T108" s="2"/>
      <c r="U108" s="2"/>
      <c r="V108" s="2"/>
      <c r="W108" s="2"/>
      <c r="X108" s="2"/>
      <c r="Y108" s="2"/>
      <c r="Z108" s="2"/>
      <c r="AA108" s="2" t="s">
        <v>66</v>
      </c>
      <c r="AB108" s="2" t="s">
        <v>41</v>
      </c>
      <c r="AC108" s="2"/>
      <c r="AD108" s="2"/>
      <c r="AE108" s="2"/>
    </row>
    <row r="109" ht="15.75" customHeight="1">
      <c r="A109" s="2">
        <v>108.0</v>
      </c>
      <c r="B109" s="2" t="s">
        <v>352</v>
      </c>
      <c r="C109" s="2" t="s">
        <v>353</v>
      </c>
      <c r="D109" s="2" t="s">
        <v>33</v>
      </c>
      <c r="E109" s="2" t="s">
        <v>64</v>
      </c>
      <c r="F109" s="2" t="s">
        <v>174</v>
      </c>
      <c r="G109" s="2" t="s">
        <v>354</v>
      </c>
      <c r="H109" s="2" t="s">
        <v>34</v>
      </c>
      <c r="I109" s="2" t="s">
        <v>36</v>
      </c>
      <c r="J109" s="2" t="s">
        <v>355</v>
      </c>
      <c r="K109" s="4" t="str">
        <f>HYPERLINK("https://openlibrary.org/works/OL19692268W","Abrir enlace")</f>
        <v>Abrir enlace</v>
      </c>
      <c r="L109" s="2" t="s">
        <v>356</v>
      </c>
      <c r="M109" s="2"/>
      <c r="N109" s="2" t="s">
        <v>45</v>
      </c>
      <c r="O109" s="2"/>
      <c r="P109" s="4" t="str">
        <f>HYPERLINK("https://openlibrary.org/works/OL19692268W","Abrir enlace")</f>
        <v>Abrir enlace</v>
      </c>
      <c r="Q109" s="2"/>
      <c r="R109" s="2"/>
      <c r="S109" s="2"/>
      <c r="T109" s="2"/>
      <c r="U109" s="2"/>
      <c r="V109" s="2"/>
      <c r="W109" s="2"/>
      <c r="X109" s="2"/>
      <c r="Y109" s="2"/>
      <c r="Z109" s="2"/>
      <c r="AA109" s="2" t="s">
        <v>66</v>
      </c>
      <c r="AB109" s="2" t="s">
        <v>357</v>
      </c>
      <c r="AC109" s="2" t="s">
        <v>354</v>
      </c>
      <c r="AD109" s="2"/>
      <c r="AE109" s="2"/>
    </row>
    <row r="110" ht="15.75" customHeight="1">
      <c r="A110" s="2">
        <v>109.0</v>
      </c>
      <c r="B110" s="2" t="s">
        <v>358</v>
      </c>
      <c r="C110" s="2" t="s">
        <v>359</v>
      </c>
      <c r="D110" s="2" t="s">
        <v>33</v>
      </c>
      <c r="E110" s="2" t="s">
        <v>34</v>
      </c>
      <c r="F110" s="3" t="s">
        <v>35</v>
      </c>
      <c r="G110" s="2"/>
      <c r="H110" s="2" t="s">
        <v>34</v>
      </c>
      <c r="I110" s="2" t="s">
        <v>36</v>
      </c>
      <c r="J110" s="2" t="s">
        <v>37</v>
      </c>
      <c r="K110" s="4" t="str">
        <f>HYPERLINK("http://books.google.com.mx/books?id=PiSpYgEACAAJ&amp;dq=Los+valores+ilutres+de+la+ciudad+de+Roma+:+Desde+R%C3%B3mulo+hasta+Augusto+Guim,+Juan+B.&amp;hl=&amp;as_pt=BOOKS&amp;source=gbs_api","Abrir enlace")</f>
        <v>Abrir enlace</v>
      </c>
      <c r="L110" s="2" t="s">
        <v>360</v>
      </c>
      <c r="M110" s="2"/>
      <c r="N110" s="2" t="s">
        <v>39</v>
      </c>
      <c r="O110" s="2"/>
      <c r="P110" s="4" t="str">
        <f>HYPERLINK("http://books.google.com.mx/books?id=PiSpYgEACAAJ&amp;dq=Los+valores+ilutres+de+la+ciudad+de+Roma+:+Desde+R%C3%B3mulo+hasta+Augusto+Guim,+Juan+B.&amp;hl=&amp;as_pt=BOOKS&amp;source=gbs_api","Abrir enlace")</f>
        <v>Abrir enlace</v>
      </c>
      <c r="Q110" s="2"/>
      <c r="R110" s="2"/>
      <c r="S110" s="2"/>
      <c r="T110" s="2"/>
      <c r="U110" s="2"/>
      <c r="V110" s="2"/>
      <c r="W110" s="2"/>
      <c r="X110" s="2"/>
      <c r="Y110" s="2"/>
      <c r="Z110" s="2"/>
      <c r="AA110" s="2" t="s">
        <v>51</v>
      </c>
      <c r="AB110" s="2" t="s">
        <v>41</v>
      </c>
      <c r="AC110" s="2"/>
      <c r="AD110" s="2"/>
      <c r="AE110" s="2"/>
    </row>
    <row r="111" ht="15.75" customHeight="1">
      <c r="A111" s="2">
        <v>110.0</v>
      </c>
      <c r="B111" s="2" t="s">
        <v>361</v>
      </c>
      <c r="C111" s="2" t="s">
        <v>236</v>
      </c>
      <c r="D111" s="2" t="s">
        <v>33</v>
      </c>
      <c r="E111" s="2" t="s">
        <v>70</v>
      </c>
      <c r="F111" s="3" t="s">
        <v>35</v>
      </c>
      <c r="G111" s="2"/>
      <c r="H111" s="2" t="s">
        <v>70</v>
      </c>
      <c r="I111" s="2" t="s">
        <v>168</v>
      </c>
      <c r="J111" s="2" t="s">
        <v>362</v>
      </c>
      <c r="K111" s="4" t="str">
        <f>HYPERLINK("http://books.google.com.mx/books?id=CxhMygAACAAJ&amp;dq=Del+suicidio+:+Considerado+bajo+los+puntos+de+vista+fios%C3%B3fico,+religioso,+moral+y+m%C3%A9dico+Debreyne,+P.+J.+C.&amp;hl=&amp;as_pt="&amp;"BOOKS&amp;source=gbs_api","Abrir enlace")</f>
        <v>Abrir enlace</v>
      </c>
      <c r="L111" s="2" t="s">
        <v>363</v>
      </c>
      <c r="M111" s="2"/>
      <c r="N111" s="2" t="s">
        <v>39</v>
      </c>
      <c r="O111" s="2"/>
      <c r="P111" s="4" t="str">
        <f>HYPERLINK("http://books.google.com.mx/books?id=CxhMygAACAAJ&amp;dq=Del+suicidio+:+Considerado+bajo+los+puntos+de+vista+fios%C3%B3fico,+religioso,+moral+y+m%C3%A9dico+Debreyne,+P.+J.+C.&amp;hl=&amp;as_pt="&amp;"BOOKS&amp;source=gbs_api","Abrir enlace")</f>
        <v>Abrir enlace</v>
      </c>
      <c r="Q111" s="2"/>
      <c r="R111" s="2"/>
      <c r="S111" s="2"/>
      <c r="T111" s="2"/>
      <c r="U111" s="2"/>
      <c r="V111" s="2"/>
      <c r="W111" s="2"/>
      <c r="X111" s="2"/>
      <c r="Y111" s="2"/>
      <c r="Z111" s="2"/>
      <c r="AA111" s="2" t="s">
        <v>51</v>
      </c>
      <c r="AB111" s="2" t="s">
        <v>364</v>
      </c>
      <c r="AC111" s="2"/>
      <c r="AD111" s="2"/>
      <c r="AE111" s="2"/>
    </row>
    <row r="112" ht="15.75" customHeight="1">
      <c r="A112" s="2">
        <v>111.0</v>
      </c>
      <c r="B112" s="2" t="s">
        <v>365</v>
      </c>
      <c r="C112" s="2" t="s">
        <v>366</v>
      </c>
      <c r="D112" s="2" t="s">
        <v>33</v>
      </c>
      <c r="E112" s="2" t="s">
        <v>70</v>
      </c>
      <c r="F112" s="3" t="s">
        <v>35</v>
      </c>
      <c r="G112" s="2"/>
      <c r="H112" s="2" t="s">
        <v>70</v>
      </c>
      <c r="I112" s="2" t="s">
        <v>36</v>
      </c>
      <c r="J112" s="2" t="s">
        <v>37</v>
      </c>
      <c r="K112" s="4" t="str">
        <f>HYPERLINK("https://openlibrary.org/works/OL10584951W","Abrir enlace")</f>
        <v>Abrir enlace</v>
      </c>
      <c r="L112" s="2" t="s">
        <v>367</v>
      </c>
      <c r="M112" s="2"/>
      <c r="N112" s="2" t="s">
        <v>45</v>
      </c>
      <c r="O112" s="2"/>
      <c r="P112" s="4" t="str">
        <f>HYPERLINK("https://openlibrary.org/works/OL10584951W","Abrir enlace")</f>
        <v>Abrir enlace</v>
      </c>
      <c r="Q112" s="2"/>
      <c r="R112" s="2"/>
      <c r="S112" s="2"/>
      <c r="T112" s="2"/>
      <c r="U112" s="2"/>
      <c r="V112" s="2"/>
      <c r="W112" s="2"/>
      <c r="X112" s="2"/>
      <c r="Y112" s="2"/>
      <c r="Z112" s="2"/>
      <c r="AA112" s="2" t="s">
        <v>66</v>
      </c>
      <c r="AB112" s="2" t="s">
        <v>72</v>
      </c>
      <c r="AC112" s="2"/>
      <c r="AD112" s="2"/>
      <c r="AE112" s="2"/>
    </row>
    <row r="113" ht="15.75" customHeight="1">
      <c r="A113" s="2">
        <v>112.0</v>
      </c>
      <c r="B113" s="2" t="s">
        <v>62</v>
      </c>
      <c r="C113" s="2" t="s">
        <v>368</v>
      </c>
      <c r="D113" s="2" t="s">
        <v>33</v>
      </c>
      <c r="E113" s="2" t="s">
        <v>64</v>
      </c>
      <c r="F113" s="3" t="s">
        <v>35</v>
      </c>
      <c r="G113" s="2"/>
      <c r="H113" s="2" t="s">
        <v>64</v>
      </c>
      <c r="I113" s="2" t="s">
        <v>36</v>
      </c>
      <c r="J113" s="2" t="s">
        <v>37</v>
      </c>
      <c r="K113" s="4" t="str">
        <f>HYPERLINK("http://books.google.com.mx/books?id=CK9PuRvU7awC&amp;dq=The+poetical+works+Campbell,+Thomas&amp;hl=&amp;as_pt=BOOKS&amp;source=gbs_api","Abrir enlace")</f>
        <v>Abrir enlace</v>
      </c>
      <c r="L113" s="2" t="s">
        <v>369</v>
      </c>
      <c r="M113" s="2"/>
      <c r="N113" s="2" t="s">
        <v>39</v>
      </c>
      <c r="O113" s="2"/>
      <c r="P113" s="4" t="str">
        <f>HYPERLINK("http://books.google.com.mx/books?id=CK9PuRvU7awC&amp;dq=The+poetical+works+Campbell,+Thomas&amp;hl=&amp;as_pt=BOOKS&amp;source=gbs_api","Abrir enlace")</f>
        <v>Abrir enlace</v>
      </c>
      <c r="Q113" s="2"/>
      <c r="R113" s="2"/>
      <c r="S113" s="2"/>
      <c r="T113" s="2"/>
      <c r="U113" s="2"/>
      <c r="V113" s="2"/>
      <c r="W113" s="2"/>
      <c r="X113" s="2"/>
      <c r="Y113" s="2"/>
      <c r="Z113" s="2"/>
      <c r="AA113" s="2" t="s">
        <v>66</v>
      </c>
      <c r="AB113" s="2" t="s">
        <v>67</v>
      </c>
      <c r="AC113" s="2"/>
      <c r="AD113" s="2"/>
      <c r="AE113" s="2"/>
    </row>
    <row r="114" ht="15.75" customHeight="1">
      <c r="A114" s="2">
        <v>113.0</v>
      </c>
      <c r="B114" s="2" t="s">
        <v>370</v>
      </c>
      <c r="C114" s="2" t="s">
        <v>371</v>
      </c>
      <c r="D114" s="2" t="s">
        <v>33</v>
      </c>
      <c r="E114" s="2" t="s">
        <v>64</v>
      </c>
      <c r="F114" s="3" t="s">
        <v>35</v>
      </c>
      <c r="G114" s="2"/>
      <c r="H114" s="2" t="s">
        <v>64</v>
      </c>
      <c r="I114" s="2" t="s">
        <v>36</v>
      </c>
      <c r="J114" s="2" t="s">
        <v>372</v>
      </c>
      <c r="K114" s="4" t="str">
        <f>HYPERLINK("https://openlibrary.org/works/OL243738W","Abrir enlace")</f>
        <v>Abrir enlace</v>
      </c>
      <c r="L114" s="2" t="s">
        <v>370</v>
      </c>
      <c r="M114" s="2"/>
      <c r="N114" s="2" t="s">
        <v>45</v>
      </c>
      <c r="O114" s="2"/>
      <c r="P114" s="4" t="str">
        <f>HYPERLINK("https://openlibrary.org/works/OL243738W","Abrir enlace")</f>
        <v>Abrir enlace</v>
      </c>
      <c r="Q114" s="2"/>
      <c r="R114" s="2"/>
      <c r="S114" s="2"/>
      <c r="T114" s="2"/>
      <c r="U114" s="2"/>
      <c r="V114" s="2"/>
      <c r="W114" s="2"/>
      <c r="X114" s="2"/>
      <c r="Y114" s="2"/>
      <c r="Z114" s="2"/>
      <c r="AA114" s="2" t="s">
        <v>66</v>
      </c>
      <c r="AB114" s="2" t="s">
        <v>150</v>
      </c>
      <c r="AC114" s="2"/>
      <c r="AD114" s="2"/>
      <c r="AE114" s="2"/>
    </row>
    <row r="115" ht="15.75" customHeight="1">
      <c r="A115" s="2">
        <v>114.0</v>
      </c>
      <c r="B115" s="2" t="s">
        <v>373</v>
      </c>
      <c r="C115" s="2"/>
      <c r="D115" s="2" t="s">
        <v>49</v>
      </c>
      <c r="E115" s="2" t="s">
        <v>70</v>
      </c>
      <c r="F115" s="3" t="s">
        <v>35</v>
      </c>
      <c r="G115" s="2"/>
      <c r="H115" s="2" t="s">
        <v>70</v>
      </c>
      <c r="I115" s="2" t="s">
        <v>36</v>
      </c>
      <c r="J115" s="2" t="s">
        <v>37</v>
      </c>
      <c r="K115" s="4" t="str">
        <f>HYPERLINK("http://books.google.com.mx/books?id=EWqRkgAACAAJ&amp;dq=Teor%C3%ADa+y+pr%C3%A1ctica+:+Arte+de+la+fotograf%C3%ADa&amp;hl=&amp;as_pt=BOOKS&amp;source=gbs_api","Abrir enlace")</f>
        <v>Abrir enlace</v>
      </c>
      <c r="L115" s="2" t="s">
        <v>374</v>
      </c>
      <c r="M115" s="2"/>
      <c r="N115" s="2" t="s">
        <v>39</v>
      </c>
      <c r="O115" s="2"/>
      <c r="P115" s="4" t="str">
        <f>HYPERLINK("http://books.google.com.mx/books?id=EWqRkgAACAAJ&amp;dq=Teor%C3%ADa+y+pr%C3%A1ctica+:+Arte+de+la+fotograf%C3%ADa&amp;hl=&amp;as_pt=BOOKS&amp;source=gbs_api","Abrir enlace")</f>
        <v>Abrir enlace</v>
      </c>
      <c r="Q115" s="2"/>
      <c r="R115" s="2"/>
      <c r="S115" s="2"/>
      <c r="T115" s="2"/>
      <c r="U115" s="2"/>
      <c r="V115" s="2"/>
      <c r="W115" s="2"/>
      <c r="X115" s="2"/>
      <c r="Y115" s="2"/>
      <c r="Z115" s="2"/>
      <c r="AA115" s="2" t="s">
        <v>51</v>
      </c>
      <c r="AB115" s="2" t="s">
        <v>72</v>
      </c>
      <c r="AC115" s="2"/>
      <c r="AD115" s="2"/>
      <c r="AE115" s="2"/>
    </row>
    <row r="116" ht="15.75" customHeight="1">
      <c r="A116" s="2">
        <v>115.0</v>
      </c>
      <c r="B116" s="2" t="s">
        <v>62</v>
      </c>
      <c r="C116" s="2" t="s">
        <v>375</v>
      </c>
      <c r="D116" s="2" t="s">
        <v>33</v>
      </c>
      <c r="E116" s="2" t="s">
        <v>64</v>
      </c>
      <c r="F116" s="3" t="s">
        <v>35</v>
      </c>
      <c r="G116" s="2"/>
      <c r="H116" s="2" t="s">
        <v>64</v>
      </c>
      <c r="I116" s="2" t="s">
        <v>36</v>
      </c>
      <c r="J116" s="2" t="s">
        <v>37</v>
      </c>
      <c r="K116" s="4" t="str">
        <f>HYPERLINK("http://books.google.com.mx/books?id=qZz8jwEACAAJ&amp;dq=The+poetical+works+Byron,+George+Gordon&amp;hl=&amp;as_pt=BOOKS&amp;source=gbs_api","Abrir enlace")</f>
        <v>Abrir enlace</v>
      </c>
      <c r="L116" s="2" t="s">
        <v>376</v>
      </c>
      <c r="M116" s="2"/>
      <c r="N116" s="2" t="s">
        <v>39</v>
      </c>
      <c r="O116" s="2"/>
      <c r="P116" s="4" t="str">
        <f>HYPERLINK("http://books.google.com.mx/books?id=qZz8jwEACAAJ&amp;dq=The+poetical+works+Byron,+George+Gordon&amp;hl=&amp;as_pt=BOOKS&amp;source=gbs_api","Abrir enlace")</f>
        <v>Abrir enlace</v>
      </c>
      <c r="Q116" s="2"/>
      <c r="R116" s="2"/>
      <c r="S116" s="2"/>
      <c r="T116" s="2"/>
      <c r="U116" s="2"/>
      <c r="V116" s="2"/>
      <c r="W116" s="2"/>
      <c r="X116" s="2"/>
      <c r="Y116" s="2"/>
      <c r="Z116" s="2"/>
      <c r="AA116" s="2" t="s">
        <v>66</v>
      </c>
      <c r="AB116" s="2" t="s">
        <v>67</v>
      </c>
      <c r="AC116" s="2"/>
      <c r="AD116" s="2"/>
      <c r="AE116" s="2"/>
    </row>
    <row r="117" ht="15.75" customHeight="1">
      <c r="A117" s="2">
        <v>116.0</v>
      </c>
      <c r="B117" s="2" t="s">
        <v>377</v>
      </c>
      <c r="C117" s="2" t="s">
        <v>378</v>
      </c>
      <c r="D117" s="2" t="s">
        <v>33</v>
      </c>
      <c r="E117" s="2" t="s">
        <v>64</v>
      </c>
      <c r="F117" s="3" t="s">
        <v>35</v>
      </c>
      <c r="G117" s="2"/>
      <c r="H117" s="2" t="s">
        <v>64</v>
      </c>
      <c r="I117" s="2" t="s">
        <v>36</v>
      </c>
      <c r="J117" s="2" t="s">
        <v>37</v>
      </c>
      <c r="K117" s="4" t="str">
        <f>HYPERLINK("https://openlibrary.org/works/OL398553W","Abrir enlace")</f>
        <v>Abrir enlace</v>
      </c>
      <c r="L117" s="2" t="s">
        <v>379</v>
      </c>
      <c r="M117" s="2"/>
      <c r="N117" s="2" t="s">
        <v>45</v>
      </c>
      <c r="O117" s="2"/>
      <c r="P117" s="4" t="str">
        <f>HYPERLINK("https://openlibrary.org/works/OL398553W","Abrir enlace")</f>
        <v>Abrir enlace</v>
      </c>
      <c r="Q117" s="2"/>
      <c r="R117" s="2"/>
      <c r="S117" s="2"/>
      <c r="T117" s="2"/>
      <c r="U117" s="2"/>
      <c r="V117" s="2"/>
      <c r="W117" s="2"/>
      <c r="X117" s="2"/>
      <c r="Y117" s="2"/>
      <c r="Z117" s="2"/>
      <c r="AA117" s="2" t="s">
        <v>66</v>
      </c>
      <c r="AB117" s="2" t="s">
        <v>67</v>
      </c>
      <c r="AC117" s="2"/>
      <c r="AD117" s="2"/>
      <c r="AE117" s="2"/>
    </row>
    <row r="118" ht="15.75" customHeight="1">
      <c r="A118" s="2">
        <v>117.0</v>
      </c>
      <c r="B118" s="2" t="s">
        <v>380</v>
      </c>
      <c r="C118" s="2" t="s">
        <v>381</v>
      </c>
      <c r="D118" s="2" t="s">
        <v>49</v>
      </c>
      <c r="E118" s="2" t="s">
        <v>70</v>
      </c>
      <c r="F118" s="3" t="s">
        <v>35</v>
      </c>
      <c r="G118" s="2"/>
      <c r="H118" s="2" t="s">
        <v>70</v>
      </c>
      <c r="I118" s="2" t="s">
        <v>36</v>
      </c>
      <c r="J118" s="2" t="s">
        <v>37</v>
      </c>
      <c r="K118" s="4" t="str">
        <f>HYPERLINK("https://openlibrary.org/works/OL7704109W","Abrir enlace")</f>
        <v>Abrir enlace</v>
      </c>
      <c r="L118" s="2" t="s">
        <v>382</v>
      </c>
      <c r="M118" s="2"/>
      <c r="N118" s="2" t="s">
        <v>45</v>
      </c>
      <c r="O118" s="2"/>
      <c r="P118" s="4" t="str">
        <f>HYPERLINK("https://openlibrary.org/works/OL7704109W","Abrir enlace")</f>
        <v>Abrir enlace</v>
      </c>
      <c r="Q118" s="2"/>
      <c r="R118" s="2"/>
      <c r="S118" s="2"/>
      <c r="T118" s="2"/>
      <c r="U118" s="2"/>
      <c r="V118" s="2"/>
      <c r="W118" s="2"/>
      <c r="X118" s="2"/>
      <c r="Y118" s="2"/>
      <c r="Z118" s="2"/>
      <c r="AA118" s="2" t="s">
        <v>40</v>
      </c>
      <c r="AB118" s="2" t="s">
        <v>72</v>
      </c>
      <c r="AC118" s="2"/>
      <c r="AD118" s="2"/>
      <c r="AE118" s="2"/>
    </row>
    <row r="119" ht="15.75" customHeight="1">
      <c r="A119" s="2">
        <v>118.0</v>
      </c>
      <c r="B119" s="2" t="s">
        <v>383</v>
      </c>
      <c r="C119" s="2" t="s">
        <v>384</v>
      </c>
      <c r="D119" s="2" t="s">
        <v>33</v>
      </c>
      <c r="E119" s="2" t="s">
        <v>112</v>
      </c>
      <c r="F119" s="2" t="s">
        <v>174</v>
      </c>
      <c r="G119" s="2" t="s">
        <v>385</v>
      </c>
      <c r="H119" s="2" t="s">
        <v>34</v>
      </c>
      <c r="I119" s="2" t="s">
        <v>36</v>
      </c>
      <c r="J119" s="2" t="s">
        <v>386</v>
      </c>
      <c r="K119" s="4" t="str">
        <f>HYPERLINK("https://openlibrary.org/works/OL32862657W","Abrir enlace")</f>
        <v>Abrir enlace</v>
      </c>
      <c r="L119" s="2" t="s">
        <v>387</v>
      </c>
      <c r="M119" s="2"/>
      <c r="N119" s="2" t="s">
        <v>45</v>
      </c>
      <c r="O119" s="2"/>
      <c r="P119" s="4" t="str">
        <f>HYPERLINK("https://openlibrary.org/works/OL32862657W","Abrir enlace")</f>
        <v>Abrir enlace</v>
      </c>
      <c r="Q119" s="2"/>
      <c r="R119" s="2"/>
      <c r="S119" s="2"/>
      <c r="T119" s="2"/>
      <c r="U119" s="2"/>
      <c r="V119" s="2"/>
      <c r="W119" s="2"/>
      <c r="X119" s="2"/>
      <c r="Y119" s="2"/>
      <c r="Z119" s="2"/>
      <c r="AA119" s="2" t="s">
        <v>40</v>
      </c>
      <c r="AB119" s="2" t="s">
        <v>343</v>
      </c>
      <c r="AC119" s="2" t="s">
        <v>385</v>
      </c>
      <c r="AD119" s="2"/>
      <c r="AE119" s="2"/>
    </row>
    <row r="120" ht="15.75" customHeight="1">
      <c r="A120" s="2">
        <v>119.0</v>
      </c>
      <c r="B120" s="2" t="s">
        <v>388</v>
      </c>
      <c r="C120" s="2" t="s">
        <v>389</v>
      </c>
      <c r="D120" s="2" t="s">
        <v>33</v>
      </c>
      <c r="E120" s="2" t="s">
        <v>64</v>
      </c>
      <c r="F120" s="3" t="s">
        <v>35</v>
      </c>
      <c r="G120" s="2"/>
      <c r="H120" s="2" t="s">
        <v>64</v>
      </c>
      <c r="I120" s="2" t="s">
        <v>36</v>
      </c>
      <c r="J120" s="2" t="s">
        <v>37</v>
      </c>
      <c r="K120" s="4" t="str">
        <f>HYPERLINK("https://play.google.com/store/books/details?id=Ls1yNEn3w4sC&amp;source=gbs_api","Abrir enlace")</f>
        <v>Abrir enlace</v>
      </c>
      <c r="L120" s="2" t="s">
        <v>390</v>
      </c>
      <c r="M120" s="2"/>
      <c r="N120" s="2" t="s">
        <v>39</v>
      </c>
      <c r="O120" s="2"/>
      <c r="P120" s="4" t="str">
        <f>HYPERLINK("https://play.google.com/store/books/details?id=Ls1yNEn3w4sC&amp;source=gbs_api","Abrir enlace")</f>
        <v>Abrir enlace</v>
      </c>
      <c r="Q120" s="2"/>
      <c r="R120" s="2"/>
      <c r="S120" s="2"/>
      <c r="T120" s="2"/>
      <c r="U120" s="2"/>
      <c r="V120" s="2"/>
      <c r="W120" s="2"/>
      <c r="X120" s="2"/>
      <c r="Y120" s="2"/>
      <c r="Z120" s="2"/>
      <c r="AA120" s="2" t="s">
        <v>51</v>
      </c>
      <c r="AB120" s="2" t="s">
        <v>67</v>
      </c>
      <c r="AC120" s="2"/>
      <c r="AD120" s="2"/>
      <c r="AE120" s="2"/>
    </row>
    <row r="121" ht="15.75" customHeight="1">
      <c r="A121" s="2">
        <v>120.0</v>
      </c>
      <c r="B121" s="2" t="s">
        <v>391</v>
      </c>
      <c r="C121" s="2" t="s">
        <v>392</v>
      </c>
      <c r="D121" s="2" t="s">
        <v>33</v>
      </c>
      <c r="E121" s="2" t="s">
        <v>64</v>
      </c>
      <c r="F121" s="3" t="s">
        <v>35</v>
      </c>
      <c r="G121" s="2"/>
      <c r="H121" s="2" t="s">
        <v>64</v>
      </c>
      <c r="I121" s="2" t="s">
        <v>36</v>
      </c>
      <c r="J121" s="2" t="s">
        <v>393</v>
      </c>
      <c r="K121" s="4" t="str">
        <f>HYPERLINK("http://books.google.com.mx/books?id=B004ygAACAAJ&amp;dq=Olympiques+de+pindare+Guichemerre,+J.&amp;hl=&amp;as_pt=BOOKS&amp;source=gbs_api","Abrir enlace")</f>
        <v>Abrir enlace</v>
      </c>
      <c r="L121" s="2" t="s">
        <v>394</v>
      </c>
      <c r="M121" s="2"/>
      <c r="N121" s="2" t="s">
        <v>39</v>
      </c>
      <c r="O121" s="2"/>
      <c r="P121" s="4" t="str">
        <f>HYPERLINK("http://books.google.com.mx/books?id=B004ygAACAAJ&amp;dq=Olympiques+de+pindare+Guichemerre,+J.&amp;hl=&amp;as_pt=BOOKS&amp;source=gbs_api","Abrir enlace")</f>
        <v>Abrir enlace</v>
      </c>
      <c r="Q121" s="2"/>
      <c r="R121" s="2"/>
      <c r="S121" s="2"/>
      <c r="T121" s="2"/>
      <c r="U121" s="2"/>
      <c r="V121" s="2"/>
      <c r="W121" s="2"/>
      <c r="X121" s="2"/>
      <c r="Y121" s="2"/>
      <c r="Z121" s="2"/>
      <c r="AA121" s="2" t="s">
        <v>40</v>
      </c>
      <c r="AB121" s="2" t="s">
        <v>395</v>
      </c>
      <c r="AC121" s="2"/>
      <c r="AD121" s="2"/>
      <c r="AE121" s="2"/>
    </row>
    <row r="122" ht="15.75" customHeight="1">
      <c r="A122" s="2">
        <v>121.0</v>
      </c>
      <c r="B122" s="2" t="s">
        <v>396</v>
      </c>
      <c r="C122" s="2" t="s">
        <v>397</v>
      </c>
      <c r="D122" s="2" t="s">
        <v>33</v>
      </c>
      <c r="E122" s="2" t="s">
        <v>34</v>
      </c>
      <c r="F122" s="3" t="s">
        <v>35</v>
      </c>
      <c r="G122" s="2"/>
      <c r="H122" s="2" t="s">
        <v>34</v>
      </c>
      <c r="I122" s="2" t="s">
        <v>36</v>
      </c>
      <c r="J122" s="2" t="s">
        <v>37</v>
      </c>
      <c r="K122" s="4" t="str">
        <f>HYPERLINK("http://books.google.com.mx/books?id=2omFBwAAQBAJ&amp;dq=Japanese+girls+and+women+Bacon,+Alice+Mabel&amp;hl=&amp;as_pt=BOOKS&amp;source=gbs_api","Abrir enlace")</f>
        <v>Abrir enlace</v>
      </c>
      <c r="L122" s="2" t="s">
        <v>398</v>
      </c>
      <c r="M122" s="2"/>
      <c r="N122" s="2" t="s">
        <v>39</v>
      </c>
      <c r="O122" s="2"/>
      <c r="P122" s="4" t="str">
        <f>HYPERLINK("http://books.google.com.mx/books?id=2omFBwAAQBAJ&amp;dq=Japanese+girls+and+women+Bacon,+Alice+Mabel&amp;hl=&amp;as_pt=BOOKS&amp;source=gbs_api","Abrir enlace")</f>
        <v>Abrir enlace</v>
      </c>
      <c r="Q122" s="2"/>
      <c r="R122" s="2"/>
      <c r="S122" s="2"/>
      <c r="T122" s="2"/>
      <c r="U122" s="2"/>
      <c r="V122" s="2"/>
      <c r="W122" s="2"/>
      <c r="X122" s="2"/>
      <c r="Y122" s="2"/>
      <c r="Z122" s="2"/>
      <c r="AA122" s="2" t="s">
        <v>66</v>
      </c>
      <c r="AB122" s="2" t="s">
        <v>41</v>
      </c>
      <c r="AC122" s="2"/>
      <c r="AD122" s="2"/>
      <c r="AE122" s="2"/>
    </row>
    <row r="123" ht="15.75" customHeight="1">
      <c r="A123" s="2">
        <v>122.0</v>
      </c>
      <c r="B123" s="2" t="s">
        <v>399</v>
      </c>
      <c r="C123" s="2" t="s">
        <v>400</v>
      </c>
      <c r="D123" s="2" t="s">
        <v>33</v>
      </c>
      <c r="E123" s="2" t="s">
        <v>112</v>
      </c>
      <c r="F123" s="3" t="s">
        <v>35</v>
      </c>
      <c r="G123" s="2"/>
      <c r="H123" s="2" t="s">
        <v>112</v>
      </c>
      <c r="I123" s="2" t="s">
        <v>36</v>
      </c>
      <c r="J123" s="2" t="s">
        <v>401</v>
      </c>
      <c r="K123" s="4" t="str">
        <f>HYPERLINK("https://archive.org/details/cu31924029413220","Abrir enlace")</f>
        <v>Abrir enlace</v>
      </c>
      <c r="L123" s="2" t="s">
        <v>399</v>
      </c>
      <c r="M123" s="2"/>
      <c r="N123" s="2" t="s">
        <v>54</v>
      </c>
      <c r="O123" s="2"/>
      <c r="P123" s="4" t="str">
        <f>HYPERLINK("https://archive.org/details/cu31924029413220","Abrir enlace")</f>
        <v>Abrir enlace</v>
      </c>
      <c r="Q123" s="2"/>
      <c r="R123" s="2"/>
      <c r="S123" s="2"/>
      <c r="T123" s="2"/>
      <c r="U123" s="2"/>
      <c r="V123" s="2"/>
      <c r="W123" s="2"/>
      <c r="X123" s="2"/>
      <c r="Y123" s="2"/>
      <c r="Z123" s="2"/>
      <c r="AA123" s="2" t="s">
        <v>66</v>
      </c>
      <c r="AB123" s="2" t="s">
        <v>402</v>
      </c>
      <c r="AC123" s="2"/>
      <c r="AD123" s="2"/>
      <c r="AE123" s="2"/>
    </row>
    <row r="124" ht="15.75" customHeight="1">
      <c r="A124" s="2">
        <v>123.0</v>
      </c>
      <c r="B124" s="2" t="s">
        <v>403</v>
      </c>
      <c r="C124" s="2" t="s">
        <v>404</v>
      </c>
      <c r="D124" s="2" t="s">
        <v>49</v>
      </c>
      <c r="E124" s="2" t="s">
        <v>64</v>
      </c>
      <c r="F124" s="2" t="s">
        <v>174</v>
      </c>
      <c r="G124" s="2" t="s">
        <v>405</v>
      </c>
      <c r="H124" s="2" t="s">
        <v>34</v>
      </c>
      <c r="I124" s="2" t="s">
        <v>36</v>
      </c>
      <c r="J124" s="2" t="s">
        <v>37</v>
      </c>
      <c r="K124" s="4" t="str">
        <f>HYPERLINK("https://openlibrary.org/works/OL6740507W","Abrir enlace")</f>
        <v>Abrir enlace</v>
      </c>
      <c r="L124" s="2" t="s">
        <v>403</v>
      </c>
      <c r="M124" s="2"/>
      <c r="N124" s="2" t="s">
        <v>45</v>
      </c>
      <c r="O124" s="2"/>
      <c r="P124" s="4" t="str">
        <f>HYPERLINK("https://openlibrary.org/works/OL6740507W","Abrir enlace")</f>
        <v>Abrir enlace</v>
      </c>
      <c r="Q124" s="2"/>
      <c r="R124" s="2"/>
      <c r="S124" s="2"/>
      <c r="T124" s="2"/>
      <c r="U124" s="2"/>
      <c r="V124" s="2"/>
      <c r="W124" s="2"/>
      <c r="X124" s="2"/>
      <c r="Y124" s="2"/>
      <c r="Z124" s="2"/>
      <c r="AA124" s="2" t="s">
        <v>60</v>
      </c>
      <c r="AB124" s="2" t="s">
        <v>41</v>
      </c>
      <c r="AC124" s="2" t="s">
        <v>405</v>
      </c>
      <c r="AD124" s="2"/>
      <c r="AE124" s="2"/>
    </row>
    <row r="125" ht="15.75" customHeight="1">
      <c r="A125" s="2">
        <v>124.0</v>
      </c>
      <c r="B125" s="2" t="s">
        <v>406</v>
      </c>
      <c r="C125" s="2" t="s">
        <v>407</v>
      </c>
      <c r="D125" s="2" t="s">
        <v>33</v>
      </c>
      <c r="E125" s="2" t="s">
        <v>34</v>
      </c>
      <c r="F125" s="3" t="s">
        <v>35</v>
      </c>
      <c r="G125" s="2"/>
      <c r="H125" s="2" t="s">
        <v>34</v>
      </c>
      <c r="I125" s="2" t="s">
        <v>36</v>
      </c>
      <c r="J125" s="2" t="s">
        <v>37</v>
      </c>
      <c r="K125" s="4" t="str">
        <f>HYPERLINK("https://openlibrary.org/works/OL7857058W","Abrir enlace")</f>
        <v>Abrir enlace</v>
      </c>
      <c r="L125" s="2" t="s">
        <v>408</v>
      </c>
      <c r="M125" s="2"/>
      <c r="N125" s="2" t="s">
        <v>45</v>
      </c>
      <c r="O125" s="2"/>
      <c r="P125" s="4" t="str">
        <f>HYPERLINK("https://openlibrary.org/works/OL7857058W","Abrir enlace")</f>
        <v>Abrir enlace</v>
      </c>
      <c r="Q125" s="2"/>
      <c r="R125" s="2"/>
      <c r="S125" s="2"/>
      <c r="T125" s="2"/>
      <c r="U125" s="2"/>
      <c r="V125" s="2"/>
      <c r="W125" s="2"/>
      <c r="X125" s="2"/>
      <c r="Y125" s="2"/>
      <c r="Z125" s="2"/>
      <c r="AA125" s="2" t="s">
        <v>66</v>
      </c>
      <c r="AB125" s="2" t="s">
        <v>41</v>
      </c>
      <c r="AC125" s="2"/>
      <c r="AD125" s="2"/>
      <c r="AE125" s="2"/>
    </row>
    <row r="126" ht="15.75" customHeight="1">
      <c r="A126" s="2">
        <v>125.0</v>
      </c>
      <c r="B126" s="2" t="s">
        <v>118</v>
      </c>
      <c r="C126" s="2" t="s">
        <v>119</v>
      </c>
      <c r="D126" s="2" t="s">
        <v>33</v>
      </c>
      <c r="E126" s="2" t="s">
        <v>64</v>
      </c>
      <c r="F126" s="3" t="s">
        <v>35</v>
      </c>
      <c r="G126" s="2"/>
      <c r="H126" s="2" t="s">
        <v>64</v>
      </c>
      <c r="I126" s="2" t="s">
        <v>36</v>
      </c>
      <c r="J126" s="2" t="s">
        <v>37</v>
      </c>
      <c r="K126" s="4" t="str">
        <f>HYPERLINK("https://archive.org/details/gramaticadelalen00salvuoft","Abrir enlace")</f>
        <v>Abrir enlace</v>
      </c>
      <c r="L126" s="2" t="s">
        <v>120</v>
      </c>
      <c r="M126" s="2"/>
      <c r="N126" s="2" t="s">
        <v>54</v>
      </c>
      <c r="O126" s="2"/>
      <c r="P126" s="4" t="str">
        <f>HYPERLINK("https://archive.org/details/gramaticadelalen00salvuoft","Abrir enlace")</f>
        <v>Abrir enlace</v>
      </c>
      <c r="Q126" s="2"/>
      <c r="R126" s="2"/>
      <c r="S126" s="2"/>
      <c r="T126" s="2"/>
      <c r="U126" s="2"/>
      <c r="V126" s="2"/>
      <c r="W126" s="2"/>
      <c r="X126" s="2"/>
      <c r="Y126" s="2"/>
      <c r="Z126" s="2"/>
      <c r="AA126" s="2" t="s">
        <v>51</v>
      </c>
      <c r="AB126" s="2" t="s">
        <v>67</v>
      </c>
      <c r="AC126" s="2"/>
      <c r="AD126" s="2"/>
      <c r="AE126" s="2"/>
    </row>
    <row r="127" ht="15.75" customHeight="1">
      <c r="A127" s="2">
        <v>126.0</v>
      </c>
      <c r="B127" s="2" t="s">
        <v>409</v>
      </c>
      <c r="C127" s="2"/>
      <c r="D127" s="2" t="s">
        <v>33</v>
      </c>
      <c r="E127" s="2" t="s">
        <v>34</v>
      </c>
      <c r="F127" s="3" t="s">
        <v>35</v>
      </c>
      <c r="G127" s="2"/>
      <c r="H127" s="2" t="s">
        <v>34</v>
      </c>
      <c r="I127" s="2" t="s">
        <v>36</v>
      </c>
      <c r="J127" s="2" t="s">
        <v>37</v>
      </c>
      <c r="K127" s="4" t="str">
        <f>HYPERLINK("http://books.google.com.mx/books?id=O9oIAQAAIAAJ&amp;dq=Congreso+internacional+de+americanistas+:+Actas+de+la&amp;hl=&amp;as_pt=BOOKS&amp;source=gbs_api","Abrir enlace")</f>
        <v>Abrir enlace</v>
      </c>
      <c r="L127" s="2" t="s">
        <v>410</v>
      </c>
      <c r="M127" s="2"/>
      <c r="N127" s="2" t="s">
        <v>39</v>
      </c>
      <c r="O127" s="2"/>
      <c r="P127" s="4" t="str">
        <f>HYPERLINK("http://books.google.com.mx/books?id=O9oIAQAAIAAJ&amp;dq=Congreso+internacional+de+americanistas+:+Actas+de+la&amp;hl=&amp;as_pt=BOOKS&amp;source=gbs_api","Abrir enlace")</f>
        <v>Abrir enlace</v>
      </c>
      <c r="Q127" s="2"/>
      <c r="R127" s="2"/>
      <c r="S127" s="2"/>
      <c r="T127" s="2"/>
      <c r="U127" s="2"/>
      <c r="V127" s="2"/>
      <c r="W127" s="2"/>
      <c r="X127" s="2"/>
      <c r="Y127" s="2"/>
      <c r="Z127" s="2"/>
      <c r="AA127" s="2" t="s">
        <v>51</v>
      </c>
      <c r="AB127" s="2" t="s">
        <v>41</v>
      </c>
      <c r="AC127" s="2"/>
      <c r="AD127" s="2"/>
      <c r="AE127" s="2"/>
    </row>
    <row r="128" ht="15.75" customHeight="1">
      <c r="A128" s="2">
        <v>127.0</v>
      </c>
      <c r="B128" s="2" t="s">
        <v>411</v>
      </c>
      <c r="C128" s="2"/>
      <c r="D128" s="2" t="s">
        <v>33</v>
      </c>
      <c r="E128" s="2" t="s">
        <v>64</v>
      </c>
      <c r="F128" s="3" t="s">
        <v>35</v>
      </c>
      <c r="G128" s="2"/>
      <c r="H128" s="2" t="s">
        <v>64</v>
      </c>
      <c r="I128" s="2" t="s">
        <v>36</v>
      </c>
      <c r="J128" s="2" t="s">
        <v>37</v>
      </c>
      <c r="K128" s="4" t="str">
        <f>HYPERLINK("https://play.google.com/store/books/details?id=1mdddYVw-gwC&amp;source=gbs_api","Abrir enlace")</f>
        <v>Abrir enlace</v>
      </c>
      <c r="L128" s="2" t="s">
        <v>412</v>
      </c>
      <c r="M128" s="2"/>
      <c r="N128" s="2" t="s">
        <v>39</v>
      </c>
      <c r="O128" s="2"/>
      <c r="P128" s="4" t="str">
        <f>HYPERLINK("https://play.google.com/store/books/details?id=1mdddYVw-gwC&amp;source=gbs_api","Abrir enlace")</f>
        <v>Abrir enlace</v>
      </c>
      <c r="Q128" s="2"/>
      <c r="R128" s="2"/>
      <c r="S128" s="2"/>
      <c r="T128" s="2"/>
      <c r="U128" s="2"/>
      <c r="V128" s="2"/>
      <c r="W128" s="2"/>
      <c r="X128" s="2"/>
      <c r="Y128" s="2"/>
      <c r="Z128" s="2"/>
      <c r="AA128" s="2" t="s">
        <v>46</v>
      </c>
      <c r="AB128" s="2" t="s">
        <v>67</v>
      </c>
      <c r="AC128" s="2"/>
      <c r="AD128" s="2"/>
      <c r="AE128" s="2"/>
    </row>
    <row r="129" ht="15.75" customHeight="1">
      <c r="A129" s="2">
        <v>128.0</v>
      </c>
      <c r="B129" s="2" t="s">
        <v>413</v>
      </c>
      <c r="C129" s="2" t="s">
        <v>414</v>
      </c>
      <c r="D129" s="2" t="s">
        <v>33</v>
      </c>
      <c r="E129" s="2" t="s">
        <v>34</v>
      </c>
      <c r="F129" s="3" t="s">
        <v>35</v>
      </c>
      <c r="G129" s="2"/>
      <c r="H129" s="2" t="s">
        <v>34</v>
      </c>
      <c r="I129" s="2" t="s">
        <v>36</v>
      </c>
      <c r="J129" s="2" t="s">
        <v>37</v>
      </c>
      <c r="K129" s="4" t="str">
        <f t="shared" ref="K129:K131" si="15">HYPERLINK("https://play.google.com/store/books/details?id=pxENq9VyUrwC&amp;source=gbs_api","Abrir enlace")</f>
        <v>Abrir enlace</v>
      </c>
      <c r="L129" s="2" t="s">
        <v>415</v>
      </c>
      <c r="M129" s="2"/>
      <c r="N129" s="2" t="s">
        <v>39</v>
      </c>
      <c r="O129" s="2"/>
      <c r="P129" s="4" t="str">
        <f t="shared" ref="P129:P131" si="16">HYPERLINK("https://play.google.com/store/books/details?id=pxENq9VyUrwC&amp;source=gbs_api","Abrir enlace")</f>
        <v>Abrir enlace</v>
      </c>
      <c r="Q129" s="2"/>
      <c r="R129" s="2"/>
      <c r="S129" s="2"/>
      <c r="T129" s="2"/>
      <c r="U129" s="2"/>
      <c r="V129" s="2"/>
      <c r="W129" s="2"/>
      <c r="X129" s="2"/>
      <c r="Y129" s="2"/>
      <c r="Z129" s="2"/>
      <c r="AA129" s="2" t="s">
        <v>40</v>
      </c>
      <c r="AB129" s="2" t="s">
        <v>41</v>
      </c>
      <c r="AC129" s="2"/>
      <c r="AD129" s="2"/>
      <c r="AE129" s="2"/>
    </row>
    <row r="130" ht="15.75" customHeight="1">
      <c r="A130" s="2">
        <v>129.0</v>
      </c>
      <c r="B130" s="2" t="s">
        <v>413</v>
      </c>
      <c r="C130" s="2" t="s">
        <v>414</v>
      </c>
      <c r="D130" s="2" t="s">
        <v>33</v>
      </c>
      <c r="E130" s="2" t="s">
        <v>34</v>
      </c>
      <c r="F130" s="3" t="s">
        <v>35</v>
      </c>
      <c r="G130" s="2"/>
      <c r="H130" s="2" t="s">
        <v>34</v>
      </c>
      <c r="I130" s="2" t="s">
        <v>36</v>
      </c>
      <c r="J130" s="2" t="s">
        <v>37</v>
      </c>
      <c r="K130" s="4" t="str">
        <f t="shared" si="15"/>
        <v>Abrir enlace</v>
      </c>
      <c r="L130" s="2" t="s">
        <v>415</v>
      </c>
      <c r="M130" s="2"/>
      <c r="N130" s="2" t="s">
        <v>39</v>
      </c>
      <c r="O130" s="2"/>
      <c r="P130" s="4" t="str">
        <f t="shared" si="16"/>
        <v>Abrir enlace</v>
      </c>
      <c r="Q130" s="2"/>
      <c r="R130" s="2"/>
      <c r="S130" s="2"/>
      <c r="T130" s="2"/>
      <c r="U130" s="2"/>
      <c r="V130" s="2"/>
      <c r="W130" s="2"/>
      <c r="X130" s="2"/>
      <c r="Y130" s="2"/>
      <c r="Z130" s="2"/>
      <c r="AA130" s="2" t="s">
        <v>40</v>
      </c>
      <c r="AB130" s="2" t="s">
        <v>41</v>
      </c>
      <c r="AC130" s="2"/>
      <c r="AD130" s="2"/>
      <c r="AE130" s="2"/>
    </row>
    <row r="131" ht="15.75" customHeight="1">
      <c r="A131" s="2">
        <v>130.0</v>
      </c>
      <c r="B131" s="2" t="s">
        <v>413</v>
      </c>
      <c r="C131" s="2" t="s">
        <v>414</v>
      </c>
      <c r="D131" s="2" t="s">
        <v>33</v>
      </c>
      <c r="E131" s="2" t="s">
        <v>34</v>
      </c>
      <c r="F131" s="3" t="s">
        <v>35</v>
      </c>
      <c r="G131" s="2"/>
      <c r="H131" s="2" t="s">
        <v>34</v>
      </c>
      <c r="I131" s="2" t="s">
        <v>36</v>
      </c>
      <c r="J131" s="2" t="s">
        <v>37</v>
      </c>
      <c r="K131" s="4" t="str">
        <f t="shared" si="15"/>
        <v>Abrir enlace</v>
      </c>
      <c r="L131" s="2" t="s">
        <v>415</v>
      </c>
      <c r="M131" s="2"/>
      <c r="N131" s="2" t="s">
        <v>39</v>
      </c>
      <c r="O131" s="2"/>
      <c r="P131" s="4" t="str">
        <f t="shared" si="16"/>
        <v>Abrir enlace</v>
      </c>
      <c r="Q131" s="2"/>
      <c r="R131" s="2"/>
      <c r="S131" s="2"/>
      <c r="T131" s="2"/>
      <c r="U131" s="2"/>
      <c r="V131" s="2"/>
      <c r="W131" s="2"/>
      <c r="X131" s="2"/>
      <c r="Y131" s="2"/>
      <c r="Z131" s="2"/>
      <c r="AA131" s="2" t="s">
        <v>40</v>
      </c>
      <c r="AB131" s="2" t="s">
        <v>41</v>
      </c>
      <c r="AC131" s="2"/>
      <c r="AD131" s="2"/>
      <c r="AE131" s="2"/>
    </row>
    <row r="132" ht="15.75" customHeight="1">
      <c r="A132" s="2">
        <v>131.0</v>
      </c>
      <c r="B132" s="2" t="s">
        <v>416</v>
      </c>
      <c r="C132" s="2" t="s">
        <v>417</v>
      </c>
      <c r="D132" s="2" t="s">
        <v>33</v>
      </c>
      <c r="E132" s="2" t="s">
        <v>70</v>
      </c>
      <c r="F132" s="3" t="s">
        <v>35</v>
      </c>
      <c r="G132" s="2"/>
      <c r="H132" s="2" t="s">
        <v>70</v>
      </c>
      <c r="I132" s="2" t="s">
        <v>36</v>
      </c>
      <c r="J132" s="2" t="s">
        <v>418</v>
      </c>
      <c r="K132" s="4" t="str">
        <f>HYPERLINK("https://archive.org/details/lafilosofiamora00spezgoog","Abrir enlace")</f>
        <v>Abrir enlace</v>
      </c>
      <c r="L132" s="2" t="s">
        <v>419</v>
      </c>
      <c r="M132" s="2"/>
      <c r="N132" s="2" t="s">
        <v>54</v>
      </c>
      <c r="O132" s="2"/>
      <c r="P132" s="4" t="str">
        <f>HYPERLINK("https://archive.org/details/lafilosofiamora00spezgoog","Abrir enlace")</f>
        <v>Abrir enlace</v>
      </c>
      <c r="Q132" s="2"/>
      <c r="R132" s="2"/>
      <c r="S132" s="2"/>
      <c r="T132" s="2"/>
      <c r="U132" s="2"/>
      <c r="V132" s="2"/>
      <c r="W132" s="2"/>
      <c r="X132" s="2"/>
      <c r="Y132" s="2"/>
      <c r="Z132" s="2"/>
      <c r="AA132" s="2" t="s">
        <v>60</v>
      </c>
      <c r="AB132" s="2" t="s">
        <v>420</v>
      </c>
      <c r="AC132" s="2"/>
      <c r="AD132" s="2"/>
      <c r="AE132" s="2"/>
    </row>
    <row r="133" ht="15.75" customHeight="1">
      <c r="A133" s="2">
        <v>132.0</v>
      </c>
      <c r="B133" s="2" t="s">
        <v>421</v>
      </c>
      <c r="C133" s="2" t="s">
        <v>422</v>
      </c>
      <c r="D133" s="2" t="s">
        <v>33</v>
      </c>
      <c r="E133" s="2" t="s">
        <v>34</v>
      </c>
      <c r="F133" s="3" t="s">
        <v>35</v>
      </c>
      <c r="G133" s="2"/>
      <c r="H133" s="2" t="s">
        <v>34</v>
      </c>
      <c r="I133" s="2" t="s">
        <v>36</v>
      </c>
      <c r="J133" s="2" t="s">
        <v>423</v>
      </c>
      <c r="K133" s="4" t="str">
        <f>HYPERLINK("https://archive.org/details/devitaexcellent01bremgoog","Abrir enlace")</f>
        <v>Abrir enlace</v>
      </c>
      <c r="L133" s="2" t="s">
        <v>421</v>
      </c>
      <c r="M133" s="2"/>
      <c r="N133" s="2" t="s">
        <v>54</v>
      </c>
      <c r="O133" s="2"/>
      <c r="P133" s="4" t="str">
        <f>HYPERLINK("https://archive.org/details/devitaexcellent01bremgoog","Abrir enlace")</f>
        <v>Abrir enlace</v>
      </c>
      <c r="Q133" s="2"/>
      <c r="R133" s="2"/>
      <c r="S133" s="2"/>
      <c r="T133" s="2"/>
      <c r="U133" s="2"/>
      <c r="V133" s="2"/>
      <c r="W133" s="2"/>
      <c r="X133" s="2"/>
      <c r="Y133" s="2"/>
      <c r="Z133" s="2"/>
      <c r="AA133" s="2" t="s">
        <v>46</v>
      </c>
      <c r="AB133" s="2" t="s">
        <v>343</v>
      </c>
      <c r="AC133" s="2"/>
      <c r="AD133" s="2"/>
      <c r="AE133" s="2"/>
    </row>
    <row r="134" ht="15.75" customHeight="1">
      <c r="A134" s="2">
        <v>133.0</v>
      </c>
      <c r="B134" s="2" t="s">
        <v>424</v>
      </c>
      <c r="C134" s="2" t="s">
        <v>425</v>
      </c>
      <c r="D134" s="2" t="s">
        <v>33</v>
      </c>
      <c r="E134" s="2" t="s">
        <v>34</v>
      </c>
      <c r="F134" s="3" t="s">
        <v>35</v>
      </c>
      <c r="G134" s="2"/>
      <c r="H134" s="2" t="s">
        <v>34</v>
      </c>
      <c r="I134" s="2" t="s">
        <v>36</v>
      </c>
      <c r="J134" s="2" t="s">
        <v>37</v>
      </c>
      <c r="K134" s="4" t="str">
        <f>HYPERLINK("https://archive.org/details/mmoiresducard01cons","Abrir enlace")</f>
        <v>Abrir enlace</v>
      </c>
      <c r="L134" s="2" t="s">
        <v>424</v>
      </c>
      <c r="M134" s="2"/>
      <c r="N134" s="2" t="s">
        <v>54</v>
      </c>
      <c r="O134" s="2"/>
      <c r="P134" s="4" t="str">
        <f>HYPERLINK("https://archive.org/details/mmoiresducard01cons","Abrir enlace")</f>
        <v>Abrir enlace</v>
      </c>
      <c r="Q134" s="2"/>
      <c r="R134" s="2"/>
      <c r="S134" s="2"/>
      <c r="T134" s="2"/>
      <c r="U134" s="2"/>
      <c r="V134" s="2"/>
      <c r="W134" s="2"/>
      <c r="X134" s="2"/>
      <c r="Y134" s="2"/>
      <c r="Z134" s="2"/>
      <c r="AA134" s="2" t="s">
        <v>40</v>
      </c>
      <c r="AB134" s="2" t="s">
        <v>41</v>
      </c>
      <c r="AC134" s="2"/>
      <c r="AD134" s="2"/>
      <c r="AE134" s="2"/>
    </row>
    <row r="135" ht="15.75" customHeight="1">
      <c r="A135" s="2">
        <v>134.0</v>
      </c>
      <c r="B135" s="2" t="s">
        <v>426</v>
      </c>
      <c r="C135" s="2"/>
      <c r="D135" s="2" t="s">
        <v>33</v>
      </c>
      <c r="E135" s="2" t="s">
        <v>70</v>
      </c>
      <c r="F135" s="3" t="s">
        <v>35</v>
      </c>
      <c r="G135" s="2"/>
      <c r="H135" s="2" t="s">
        <v>70</v>
      </c>
      <c r="I135" s="2" t="s">
        <v>36</v>
      </c>
      <c r="J135" s="2" t="s">
        <v>37</v>
      </c>
      <c r="K135" s="4" t="str">
        <f>HYPERLINK("https://openlibrary.org/works/OL3906856W","Abrir enlace")</f>
        <v>Abrir enlace</v>
      </c>
      <c r="L135" s="2" t="s">
        <v>426</v>
      </c>
      <c r="M135" s="2"/>
      <c r="N135" s="2" t="s">
        <v>45</v>
      </c>
      <c r="O135" s="2"/>
      <c r="P135" s="4" t="str">
        <f>HYPERLINK("https://openlibrary.org/works/OL3906856W","Abrir enlace")</f>
        <v>Abrir enlace</v>
      </c>
      <c r="Q135" s="2"/>
      <c r="R135" s="2"/>
      <c r="S135" s="2"/>
      <c r="T135" s="2"/>
      <c r="U135" s="2"/>
      <c r="V135" s="2"/>
      <c r="W135" s="2"/>
      <c r="X135" s="2"/>
      <c r="Y135" s="2"/>
      <c r="Z135" s="2"/>
      <c r="AA135" s="2" t="s">
        <v>66</v>
      </c>
      <c r="AB135" s="2" t="s">
        <v>72</v>
      </c>
      <c r="AC135" s="2"/>
      <c r="AD135" s="2"/>
      <c r="AE135" s="2"/>
    </row>
    <row r="136" ht="15.75" customHeight="1">
      <c r="A136" s="2">
        <v>135.0</v>
      </c>
      <c r="B136" s="2" t="s">
        <v>427</v>
      </c>
      <c r="C136" s="2" t="s">
        <v>428</v>
      </c>
      <c r="D136" s="2" t="s">
        <v>33</v>
      </c>
      <c r="E136" s="2" t="s">
        <v>70</v>
      </c>
      <c r="F136" s="3" t="s">
        <v>35</v>
      </c>
      <c r="G136" s="2"/>
      <c r="H136" s="2" t="s">
        <v>70</v>
      </c>
      <c r="I136" s="2" t="s">
        <v>36</v>
      </c>
      <c r="J136" s="2" t="s">
        <v>37</v>
      </c>
      <c r="K136" s="4" t="str">
        <f t="shared" ref="K136:K146" si="17">HYPERLINK("https://archive.org/details/OEXV10R/OEXV10/mode/2up","Abrir enlace")</f>
        <v>Abrir enlace</v>
      </c>
      <c r="L136" s="2" t="s">
        <v>427</v>
      </c>
      <c r="M136" s="2"/>
      <c r="N136" s="2" t="s">
        <v>54</v>
      </c>
      <c r="O136" s="2"/>
      <c r="P136" s="4" t="str">
        <f t="shared" ref="P136:P146" si="18">HYPERLINK("https://archive.org/details/OEXV10R/OEXV10/mode/2up","Abrir enlace")</f>
        <v>Abrir enlace</v>
      </c>
      <c r="Q136" s="2"/>
      <c r="R136" s="2"/>
      <c r="S136" s="2"/>
      <c r="T136" s="2"/>
      <c r="U136" s="2"/>
      <c r="V136" s="2"/>
      <c r="W136" s="2"/>
      <c r="X136" s="2"/>
      <c r="Y136" s="2"/>
      <c r="Z136" s="2"/>
      <c r="AA136" s="2" t="s">
        <v>46</v>
      </c>
      <c r="AB136" s="2" t="s">
        <v>72</v>
      </c>
      <c r="AC136" s="2"/>
      <c r="AD136" s="2"/>
      <c r="AE136" s="2"/>
    </row>
    <row r="137" ht="15.75" customHeight="1">
      <c r="A137" s="2">
        <v>136.0</v>
      </c>
      <c r="B137" s="2" t="s">
        <v>427</v>
      </c>
      <c r="C137" s="2" t="s">
        <v>428</v>
      </c>
      <c r="D137" s="2" t="s">
        <v>33</v>
      </c>
      <c r="E137" s="2" t="s">
        <v>70</v>
      </c>
      <c r="F137" s="3" t="s">
        <v>35</v>
      </c>
      <c r="G137" s="2"/>
      <c r="H137" s="2" t="s">
        <v>70</v>
      </c>
      <c r="I137" s="2" t="s">
        <v>36</v>
      </c>
      <c r="J137" s="2" t="s">
        <v>37</v>
      </c>
      <c r="K137" s="4" t="str">
        <f t="shared" si="17"/>
        <v>Abrir enlace</v>
      </c>
      <c r="L137" s="2" t="s">
        <v>427</v>
      </c>
      <c r="M137" s="2"/>
      <c r="N137" s="2" t="s">
        <v>54</v>
      </c>
      <c r="O137" s="2"/>
      <c r="P137" s="4" t="str">
        <f t="shared" si="18"/>
        <v>Abrir enlace</v>
      </c>
      <c r="Q137" s="2"/>
      <c r="R137" s="2"/>
      <c r="S137" s="2"/>
      <c r="T137" s="2"/>
      <c r="U137" s="2"/>
      <c r="V137" s="2"/>
      <c r="W137" s="2"/>
      <c r="X137" s="2"/>
      <c r="Y137" s="2"/>
      <c r="Z137" s="2"/>
      <c r="AA137" s="2" t="s">
        <v>46</v>
      </c>
      <c r="AB137" s="2" t="s">
        <v>72</v>
      </c>
      <c r="AC137" s="2"/>
      <c r="AD137" s="2"/>
      <c r="AE137" s="2"/>
    </row>
    <row r="138" ht="15.75" customHeight="1">
      <c r="A138" s="2">
        <v>137.0</v>
      </c>
      <c r="B138" s="2" t="s">
        <v>427</v>
      </c>
      <c r="C138" s="2" t="s">
        <v>428</v>
      </c>
      <c r="D138" s="2" t="s">
        <v>33</v>
      </c>
      <c r="E138" s="2" t="s">
        <v>70</v>
      </c>
      <c r="F138" s="3" t="s">
        <v>35</v>
      </c>
      <c r="G138" s="2"/>
      <c r="H138" s="2" t="s">
        <v>70</v>
      </c>
      <c r="I138" s="2" t="s">
        <v>36</v>
      </c>
      <c r="J138" s="2" t="s">
        <v>37</v>
      </c>
      <c r="K138" s="4" t="str">
        <f t="shared" si="17"/>
        <v>Abrir enlace</v>
      </c>
      <c r="L138" s="2" t="s">
        <v>427</v>
      </c>
      <c r="M138" s="2"/>
      <c r="N138" s="2" t="s">
        <v>54</v>
      </c>
      <c r="O138" s="2"/>
      <c r="P138" s="4" t="str">
        <f t="shared" si="18"/>
        <v>Abrir enlace</v>
      </c>
      <c r="Q138" s="2"/>
      <c r="R138" s="2"/>
      <c r="S138" s="2"/>
      <c r="T138" s="2"/>
      <c r="U138" s="2"/>
      <c r="V138" s="2"/>
      <c r="W138" s="2"/>
      <c r="X138" s="2"/>
      <c r="Y138" s="2"/>
      <c r="Z138" s="2"/>
      <c r="AA138" s="2" t="s">
        <v>46</v>
      </c>
      <c r="AB138" s="2" t="s">
        <v>72</v>
      </c>
      <c r="AC138" s="2"/>
      <c r="AD138" s="2"/>
      <c r="AE138" s="2"/>
    </row>
    <row r="139" ht="15.75" customHeight="1">
      <c r="A139" s="2">
        <v>138.0</v>
      </c>
      <c r="B139" s="2" t="s">
        <v>427</v>
      </c>
      <c r="C139" s="2" t="s">
        <v>428</v>
      </c>
      <c r="D139" s="2" t="s">
        <v>33</v>
      </c>
      <c r="E139" s="2" t="s">
        <v>70</v>
      </c>
      <c r="F139" s="3" t="s">
        <v>35</v>
      </c>
      <c r="G139" s="2"/>
      <c r="H139" s="2" t="s">
        <v>70</v>
      </c>
      <c r="I139" s="2" t="s">
        <v>36</v>
      </c>
      <c r="J139" s="2" t="s">
        <v>37</v>
      </c>
      <c r="K139" s="4" t="str">
        <f t="shared" si="17"/>
        <v>Abrir enlace</v>
      </c>
      <c r="L139" s="2" t="s">
        <v>427</v>
      </c>
      <c r="M139" s="2"/>
      <c r="N139" s="2" t="s">
        <v>54</v>
      </c>
      <c r="O139" s="2"/>
      <c r="P139" s="4" t="str">
        <f t="shared" si="18"/>
        <v>Abrir enlace</v>
      </c>
      <c r="Q139" s="2"/>
      <c r="R139" s="2"/>
      <c r="S139" s="2"/>
      <c r="T139" s="2"/>
      <c r="U139" s="2"/>
      <c r="V139" s="2"/>
      <c r="W139" s="2"/>
      <c r="X139" s="2"/>
      <c r="Y139" s="2"/>
      <c r="Z139" s="2"/>
      <c r="AA139" s="2" t="s">
        <v>46</v>
      </c>
      <c r="AB139" s="2" t="s">
        <v>72</v>
      </c>
      <c r="AC139" s="2"/>
      <c r="AD139" s="2"/>
      <c r="AE139" s="2"/>
    </row>
    <row r="140" ht="15.75" customHeight="1">
      <c r="A140" s="2">
        <v>139.0</v>
      </c>
      <c r="B140" s="2" t="s">
        <v>427</v>
      </c>
      <c r="C140" s="2" t="s">
        <v>428</v>
      </c>
      <c r="D140" s="2" t="s">
        <v>33</v>
      </c>
      <c r="E140" s="2" t="s">
        <v>70</v>
      </c>
      <c r="F140" s="3" t="s">
        <v>35</v>
      </c>
      <c r="G140" s="2"/>
      <c r="H140" s="2" t="s">
        <v>70</v>
      </c>
      <c r="I140" s="2" t="s">
        <v>36</v>
      </c>
      <c r="J140" s="2" t="s">
        <v>37</v>
      </c>
      <c r="K140" s="4" t="str">
        <f t="shared" si="17"/>
        <v>Abrir enlace</v>
      </c>
      <c r="L140" s="2" t="s">
        <v>427</v>
      </c>
      <c r="M140" s="2"/>
      <c r="N140" s="2" t="s">
        <v>54</v>
      </c>
      <c r="O140" s="2"/>
      <c r="P140" s="4" t="str">
        <f t="shared" si="18"/>
        <v>Abrir enlace</v>
      </c>
      <c r="Q140" s="2"/>
      <c r="R140" s="2"/>
      <c r="S140" s="2"/>
      <c r="T140" s="2"/>
      <c r="U140" s="2"/>
      <c r="V140" s="2"/>
      <c r="W140" s="2"/>
      <c r="X140" s="2"/>
      <c r="Y140" s="2"/>
      <c r="Z140" s="2"/>
      <c r="AA140" s="2" t="s">
        <v>46</v>
      </c>
      <c r="AB140" s="2" t="s">
        <v>72</v>
      </c>
      <c r="AC140" s="2"/>
      <c r="AD140" s="2"/>
      <c r="AE140" s="2"/>
    </row>
    <row r="141" ht="15.75" customHeight="1">
      <c r="A141" s="2">
        <v>140.0</v>
      </c>
      <c r="B141" s="2" t="s">
        <v>427</v>
      </c>
      <c r="C141" s="2" t="s">
        <v>428</v>
      </c>
      <c r="D141" s="2" t="s">
        <v>33</v>
      </c>
      <c r="E141" s="2" t="s">
        <v>70</v>
      </c>
      <c r="F141" s="3" t="s">
        <v>35</v>
      </c>
      <c r="G141" s="2"/>
      <c r="H141" s="2" t="s">
        <v>70</v>
      </c>
      <c r="I141" s="2" t="s">
        <v>36</v>
      </c>
      <c r="J141" s="2" t="s">
        <v>37</v>
      </c>
      <c r="K141" s="4" t="str">
        <f t="shared" si="17"/>
        <v>Abrir enlace</v>
      </c>
      <c r="L141" s="2" t="s">
        <v>427</v>
      </c>
      <c r="M141" s="2"/>
      <c r="N141" s="2" t="s">
        <v>54</v>
      </c>
      <c r="O141" s="2"/>
      <c r="P141" s="4" t="str">
        <f t="shared" si="18"/>
        <v>Abrir enlace</v>
      </c>
      <c r="Q141" s="2"/>
      <c r="R141" s="2"/>
      <c r="S141" s="2"/>
      <c r="T141" s="2"/>
      <c r="U141" s="2"/>
      <c r="V141" s="2"/>
      <c r="W141" s="2"/>
      <c r="X141" s="2"/>
      <c r="Y141" s="2"/>
      <c r="Z141" s="2"/>
      <c r="AA141" s="2" t="s">
        <v>46</v>
      </c>
      <c r="AB141" s="2" t="s">
        <v>72</v>
      </c>
      <c r="AC141" s="2"/>
      <c r="AD141" s="2"/>
      <c r="AE141" s="2"/>
    </row>
    <row r="142" ht="15.75" customHeight="1">
      <c r="A142" s="2">
        <v>141.0</v>
      </c>
      <c r="B142" s="2" t="s">
        <v>427</v>
      </c>
      <c r="C142" s="2" t="s">
        <v>428</v>
      </c>
      <c r="D142" s="2" t="s">
        <v>33</v>
      </c>
      <c r="E142" s="2" t="s">
        <v>70</v>
      </c>
      <c r="F142" s="3" t="s">
        <v>35</v>
      </c>
      <c r="G142" s="2"/>
      <c r="H142" s="2" t="s">
        <v>70</v>
      </c>
      <c r="I142" s="2" t="s">
        <v>36</v>
      </c>
      <c r="J142" s="2" t="s">
        <v>37</v>
      </c>
      <c r="K142" s="4" t="str">
        <f t="shared" si="17"/>
        <v>Abrir enlace</v>
      </c>
      <c r="L142" s="2" t="s">
        <v>427</v>
      </c>
      <c r="M142" s="2"/>
      <c r="N142" s="2" t="s">
        <v>54</v>
      </c>
      <c r="O142" s="2"/>
      <c r="P142" s="4" t="str">
        <f t="shared" si="18"/>
        <v>Abrir enlace</v>
      </c>
      <c r="Q142" s="2"/>
      <c r="R142" s="2"/>
      <c r="S142" s="2"/>
      <c r="T142" s="2"/>
      <c r="U142" s="2"/>
      <c r="V142" s="2"/>
      <c r="W142" s="2"/>
      <c r="X142" s="2"/>
      <c r="Y142" s="2"/>
      <c r="Z142" s="2"/>
      <c r="AA142" s="2" t="s">
        <v>46</v>
      </c>
      <c r="AB142" s="2" t="s">
        <v>72</v>
      </c>
      <c r="AC142" s="2"/>
      <c r="AD142" s="2"/>
      <c r="AE142" s="2"/>
    </row>
    <row r="143" ht="15.75" customHeight="1">
      <c r="A143" s="2">
        <v>142.0</v>
      </c>
      <c r="B143" s="2" t="s">
        <v>427</v>
      </c>
      <c r="C143" s="2" t="s">
        <v>428</v>
      </c>
      <c r="D143" s="2" t="s">
        <v>33</v>
      </c>
      <c r="E143" s="2" t="s">
        <v>70</v>
      </c>
      <c r="F143" s="3" t="s">
        <v>35</v>
      </c>
      <c r="G143" s="2"/>
      <c r="H143" s="2" t="s">
        <v>70</v>
      </c>
      <c r="I143" s="2" t="s">
        <v>36</v>
      </c>
      <c r="J143" s="2" t="s">
        <v>37</v>
      </c>
      <c r="K143" s="4" t="str">
        <f t="shared" si="17"/>
        <v>Abrir enlace</v>
      </c>
      <c r="L143" s="2" t="s">
        <v>427</v>
      </c>
      <c r="M143" s="2"/>
      <c r="N143" s="2" t="s">
        <v>54</v>
      </c>
      <c r="O143" s="2"/>
      <c r="P143" s="4" t="str">
        <f t="shared" si="18"/>
        <v>Abrir enlace</v>
      </c>
      <c r="Q143" s="2"/>
      <c r="R143" s="2"/>
      <c r="S143" s="2"/>
      <c r="T143" s="2"/>
      <c r="U143" s="2"/>
      <c r="V143" s="2"/>
      <c r="W143" s="2"/>
      <c r="X143" s="2"/>
      <c r="Y143" s="2"/>
      <c r="Z143" s="2"/>
      <c r="AA143" s="2" t="s">
        <v>46</v>
      </c>
      <c r="AB143" s="2" t="s">
        <v>72</v>
      </c>
      <c r="AC143" s="2"/>
      <c r="AD143" s="2"/>
      <c r="AE143" s="2"/>
    </row>
    <row r="144" ht="15.75" customHeight="1">
      <c r="A144" s="2">
        <v>143.0</v>
      </c>
      <c r="B144" s="2" t="s">
        <v>427</v>
      </c>
      <c r="C144" s="2" t="s">
        <v>428</v>
      </c>
      <c r="D144" s="2" t="s">
        <v>33</v>
      </c>
      <c r="E144" s="2" t="s">
        <v>70</v>
      </c>
      <c r="F144" s="3" t="s">
        <v>35</v>
      </c>
      <c r="G144" s="2"/>
      <c r="H144" s="2" t="s">
        <v>70</v>
      </c>
      <c r="I144" s="2" t="s">
        <v>36</v>
      </c>
      <c r="J144" s="2" t="s">
        <v>37</v>
      </c>
      <c r="K144" s="4" t="str">
        <f t="shared" si="17"/>
        <v>Abrir enlace</v>
      </c>
      <c r="L144" s="2" t="s">
        <v>427</v>
      </c>
      <c r="M144" s="2"/>
      <c r="N144" s="2" t="s">
        <v>54</v>
      </c>
      <c r="O144" s="2"/>
      <c r="P144" s="4" t="str">
        <f t="shared" si="18"/>
        <v>Abrir enlace</v>
      </c>
      <c r="Q144" s="2"/>
      <c r="R144" s="2"/>
      <c r="S144" s="2"/>
      <c r="T144" s="2"/>
      <c r="U144" s="2"/>
      <c r="V144" s="2"/>
      <c r="W144" s="2"/>
      <c r="X144" s="2"/>
      <c r="Y144" s="2"/>
      <c r="Z144" s="2"/>
      <c r="AA144" s="2" t="s">
        <v>46</v>
      </c>
      <c r="AB144" s="2" t="s">
        <v>72</v>
      </c>
      <c r="AC144" s="2"/>
      <c r="AD144" s="2"/>
      <c r="AE144" s="2"/>
    </row>
    <row r="145" ht="15.75" customHeight="1">
      <c r="A145" s="2">
        <v>144.0</v>
      </c>
      <c r="B145" s="2" t="s">
        <v>427</v>
      </c>
      <c r="C145" s="2" t="s">
        <v>428</v>
      </c>
      <c r="D145" s="2" t="s">
        <v>33</v>
      </c>
      <c r="E145" s="2" t="s">
        <v>70</v>
      </c>
      <c r="F145" s="3" t="s">
        <v>35</v>
      </c>
      <c r="G145" s="2"/>
      <c r="H145" s="2" t="s">
        <v>70</v>
      </c>
      <c r="I145" s="2" t="s">
        <v>36</v>
      </c>
      <c r="J145" s="2" t="s">
        <v>37</v>
      </c>
      <c r="K145" s="4" t="str">
        <f t="shared" si="17"/>
        <v>Abrir enlace</v>
      </c>
      <c r="L145" s="2" t="s">
        <v>427</v>
      </c>
      <c r="M145" s="2"/>
      <c r="N145" s="2" t="s">
        <v>54</v>
      </c>
      <c r="O145" s="2"/>
      <c r="P145" s="4" t="str">
        <f t="shared" si="18"/>
        <v>Abrir enlace</v>
      </c>
      <c r="Q145" s="2"/>
      <c r="R145" s="2"/>
      <c r="S145" s="2"/>
      <c r="T145" s="2"/>
      <c r="U145" s="2"/>
      <c r="V145" s="2"/>
      <c r="W145" s="2"/>
      <c r="X145" s="2"/>
      <c r="Y145" s="2"/>
      <c r="Z145" s="2"/>
      <c r="AA145" s="2" t="s">
        <v>46</v>
      </c>
      <c r="AB145" s="2" t="s">
        <v>72</v>
      </c>
      <c r="AC145" s="2"/>
      <c r="AD145" s="2"/>
      <c r="AE145" s="2"/>
    </row>
    <row r="146" ht="15.75" customHeight="1">
      <c r="A146" s="2">
        <v>145.0</v>
      </c>
      <c r="B146" s="2" t="s">
        <v>427</v>
      </c>
      <c r="C146" s="2" t="s">
        <v>428</v>
      </c>
      <c r="D146" s="2" t="s">
        <v>33</v>
      </c>
      <c r="E146" s="2" t="s">
        <v>70</v>
      </c>
      <c r="F146" s="3" t="s">
        <v>35</v>
      </c>
      <c r="G146" s="2"/>
      <c r="H146" s="2" t="s">
        <v>70</v>
      </c>
      <c r="I146" s="2" t="s">
        <v>36</v>
      </c>
      <c r="J146" s="2" t="s">
        <v>37</v>
      </c>
      <c r="K146" s="4" t="str">
        <f t="shared" si="17"/>
        <v>Abrir enlace</v>
      </c>
      <c r="L146" s="2" t="s">
        <v>427</v>
      </c>
      <c r="M146" s="2"/>
      <c r="N146" s="2" t="s">
        <v>54</v>
      </c>
      <c r="O146" s="2"/>
      <c r="P146" s="4" t="str">
        <f t="shared" si="18"/>
        <v>Abrir enlace</v>
      </c>
      <c r="Q146" s="2"/>
      <c r="R146" s="2"/>
      <c r="S146" s="2"/>
      <c r="T146" s="2"/>
      <c r="U146" s="2"/>
      <c r="V146" s="2"/>
      <c r="W146" s="2"/>
      <c r="X146" s="2"/>
      <c r="Y146" s="2"/>
      <c r="Z146" s="2"/>
      <c r="AA146" s="2" t="s">
        <v>46</v>
      </c>
      <c r="AB146" s="2" t="s">
        <v>72</v>
      </c>
      <c r="AC146" s="2"/>
      <c r="AD146" s="2"/>
      <c r="AE146" s="2"/>
    </row>
    <row r="147" ht="15.75" customHeight="1">
      <c r="A147" s="2">
        <v>146.0</v>
      </c>
      <c r="B147" s="2" t="s">
        <v>429</v>
      </c>
      <c r="C147" s="2" t="s">
        <v>430</v>
      </c>
      <c r="D147" s="2" t="s">
        <v>33</v>
      </c>
      <c r="E147" s="2" t="s">
        <v>70</v>
      </c>
      <c r="F147" s="3" t="s">
        <v>35</v>
      </c>
      <c r="G147" s="2"/>
      <c r="H147" s="2" t="s">
        <v>70</v>
      </c>
      <c r="I147" s="2" t="s">
        <v>168</v>
      </c>
      <c r="J147" s="2" t="s">
        <v>431</v>
      </c>
      <c r="K147" s="4" t="str">
        <f>HYPERLINK("http://books.google.com.mx/books?id=FZM3ygEACAAJ&amp;dq=Manual+de+alba%C3%B1iler%C3%ADa+:+Dispuesto+seg%C3%BAn+loa+adelantos+modernos,+con+noticias+hist%C3%B3ricos+-+cient%C3%ADficas+B"&amp;"artueso+y+Balarga,+D.+Fulgencio&amp;hl=&amp;as_pt=BOOKS&amp;source=gbs_api","Abrir enlace")</f>
        <v>Abrir enlace</v>
      </c>
      <c r="L147" s="2" t="s">
        <v>432</v>
      </c>
      <c r="M147" s="2"/>
      <c r="N147" s="2" t="s">
        <v>39</v>
      </c>
      <c r="O147" s="2"/>
      <c r="P147" s="4" t="str">
        <f>HYPERLINK("http://books.google.com.mx/books?id=FZM3ygEACAAJ&amp;dq=Manual+de+alba%C3%B1iler%C3%ADa+:+Dispuesto+seg%C3%BAn+loa+adelantos+modernos,+con+noticias+hist%C3%B3ricos+-+cient%C3%ADficas+B"&amp;"artueso+y+Balarga,+D.+Fulgencio&amp;hl=&amp;as_pt=BOOKS&amp;source=gbs_api","Abrir enlace")</f>
        <v>Abrir enlace</v>
      </c>
      <c r="Q147" s="2"/>
      <c r="R147" s="2"/>
      <c r="S147" s="2"/>
      <c r="T147" s="2"/>
      <c r="U147" s="2"/>
      <c r="V147" s="2"/>
      <c r="W147" s="2"/>
      <c r="X147" s="2"/>
      <c r="Y147" s="2"/>
      <c r="Z147" s="2"/>
      <c r="AA147" s="2" t="s">
        <v>51</v>
      </c>
      <c r="AB147" s="2" t="s">
        <v>433</v>
      </c>
      <c r="AC147" s="2"/>
      <c r="AD147" s="2"/>
      <c r="AE147" s="2"/>
    </row>
    <row r="148" ht="15.75" customHeight="1">
      <c r="A148" s="2">
        <v>147.0</v>
      </c>
      <c r="B148" s="2" t="s">
        <v>434</v>
      </c>
      <c r="C148" s="2" t="s">
        <v>435</v>
      </c>
      <c r="D148" s="2" t="s">
        <v>33</v>
      </c>
      <c r="E148" s="2" t="s">
        <v>34</v>
      </c>
      <c r="F148" s="3" t="s">
        <v>35</v>
      </c>
      <c r="G148" s="2"/>
      <c r="H148" s="2" t="s">
        <v>34</v>
      </c>
      <c r="I148" s="2" t="s">
        <v>36</v>
      </c>
      <c r="J148" s="2" t="s">
        <v>37</v>
      </c>
      <c r="K148" s="4" t="str">
        <f>HYPERLINK("http://books.google.com.mx/books?id=5-A1AAAAMAAJ&amp;dq=Jinrikisha+days+in+Japan+Scidmore,+Eliza+Ruhamah&amp;hl=&amp;as_pt=BOOKS&amp;source=gbs_api","Abrir enlace")</f>
        <v>Abrir enlace</v>
      </c>
      <c r="L148" s="2" t="s">
        <v>436</v>
      </c>
      <c r="M148" s="2"/>
      <c r="N148" s="2" t="s">
        <v>39</v>
      </c>
      <c r="O148" s="2"/>
      <c r="P148" s="4" t="str">
        <f>HYPERLINK("http://books.google.com.mx/books?id=5-A1AAAAMAAJ&amp;dq=Jinrikisha+days+in+Japan+Scidmore,+Eliza+Ruhamah&amp;hl=&amp;as_pt=BOOKS&amp;source=gbs_api","Abrir enlace")</f>
        <v>Abrir enlace</v>
      </c>
      <c r="Q148" s="2"/>
      <c r="R148" s="2"/>
      <c r="S148" s="2"/>
      <c r="T148" s="2"/>
      <c r="U148" s="2"/>
      <c r="V148" s="2"/>
      <c r="W148" s="2"/>
      <c r="X148" s="2"/>
      <c r="Y148" s="2"/>
      <c r="Z148" s="2"/>
      <c r="AA148" s="2" t="s">
        <v>66</v>
      </c>
      <c r="AB148" s="2" t="s">
        <v>41</v>
      </c>
      <c r="AC148" s="2"/>
      <c r="AD148" s="2"/>
      <c r="AE148" s="2"/>
    </row>
    <row r="149" ht="15.75" customHeight="1">
      <c r="A149" s="2">
        <v>148.0</v>
      </c>
      <c r="B149" s="2" t="s">
        <v>437</v>
      </c>
      <c r="C149" s="2" t="s">
        <v>438</v>
      </c>
      <c r="D149" s="2" t="s">
        <v>49</v>
      </c>
      <c r="E149" s="2" t="s">
        <v>34</v>
      </c>
      <c r="F149" s="3" t="s">
        <v>35</v>
      </c>
      <c r="G149" s="2"/>
      <c r="H149" s="2" t="s">
        <v>34</v>
      </c>
      <c r="I149" s="2" t="s">
        <v>36</v>
      </c>
      <c r="J149" s="2" t="s">
        <v>37</v>
      </c>
      <c r="K149" s="4" t="str">
        <f>HYPERLINK("http://books.google.com.mx/books?id=1CzHjwEACAAJ&amp;dq=Life+and+adventures+of+ben+thompson+:+The+famous+texan+Walton,+W.+M.&amp;hl=&amp;as_pt=BOOKS&amp;source=gbs_api","Abrir enlace")</f>
        <v>Abrir enlace</v>
      </c>
      <c r="L149" s="2" t="s">
        <v>439</v>
      </c>
      <c r="M149" s="2"/>
      <c r="N149" s="2" t="s">
        <v>39</v>
      </c>
      <c r="O149" s="2"/>
      <c r="P149" s="4" t="str">
        <f>HYPERLINK("http://books.google.com.mx/books?id=1CzHjwEACAAJ&amp;dq=Life+and+adventures+of+ben+thompson+:+The+famous+texan+Walton,+W.+M.&amp;hl=&amp;as_pt=BOOKS&amp;source=gbs_api","Abrir enlace")</f>
        <v>Abrir enlace</v>
      </c>
      <c r="Q149" s="2"/>
      <c r="R149" s="2"/>
      <c r="S149" s="2"/>
      <c r="T149" s="2"/>
      <c r="U149" s="2"/>
      <c r="V149" s="2"/>
      <c r="W149" s="2"/>
      <c r="X149" s="2"/>
      <c r="Y149" s="2"/>
      <c r="Z149" s="2"/>
      <c r="AA149" s="2" t="s">
        <v>66</v>
      </c>
      <c r="AB149" s="2" t="s">
        <v>41</v>
      </c>
      <c r="AC149" s="2"/>
      <c r="AD149" s="2"/>
      <c r="AE149" s="2"/>
    </row>
    <row r="150" ht="15.75" customHeight="1">
      <c r="A150" s="2">
        <v>149.0</v>
      </c>
      <c r="B150" s="2" t="s">
        <v>440</v>
      </c>
      <c r="C150" s="2" t="s">
        <v>77</v>
      </c>
      <c r="D150" s="2" t="s">
        <v>33</v>
      </c>
      <c r="E150" s="2" t="s">
        <v>64</v>
      </c>
      <c r="F150" s="3" t="s">
        <v>35</v>
      </c>
      <c r="G150" s="2"/>
      <c r="H150" s="2" t="s">
        <v>64</v>
      </c>
      <c r="I150" s="2" t="s">
        <v>36</v>
      </c>
      <c r="J150" s="2" t="s">
        <v>441</v>
      </c>
      <c r="K150" s="4" t="str">
        <f t="shared" ref="K150:K152" si="19">HYPERLINK("http://books.google.com.mx/books?id=Fq0DOwAACAAJ&amp;dq=Los+desposados+o+sea+el+condestable+de+Chester+:+Historia+del+tiempo+de+las+cruzadas+Scott,+Walter&amp;hl=&amp;as_pt=BOOKS&amp;source=gbs_ap"&amp;"i","Abrir enlace")</f>
        <v>Abrir enlace</v>
      </c>
      <c r="L150" s="2" t="s">
        <v>442</v>
      </c>
      <c r="M150" s="2"/>
      <c r="N150" s="2" t="s">
        <v>39</v>
      </c>
      <c r="O150" s="2"/>
      <c r="P150" s="4" t="str">
        <f t="shared" ref="P150:P152" si="20">HYPERLINK("http://books.google.com.mx/books?id=Fq0DOwAACAAJ&amp;dq=Los+desposados+o+sea+el+condestable+de+Chester+:+Historia+del+tiempo+de+las+cruzadas+Scott,+Walter&amp;hl=&amp;as_pt=BOOKS&amp;source=gbs_ap"&amp;"i","Abrir enlace")</f>
        <v>Abrir enlace</v>
      </c>
      <c r="Q150" s="2"/>
      <c r="R150" s="2"/>
      <c r="S150" s="2"/>
      <c r="T150" s="2"/>
      <c r="U150" s="2"/>
      <c r="V150" s="2"/>
      <c r="W150" s="2"/>
      <c r="X150" s="2"/>
      <c r="Y150" s="2"/>
      <c r="Z150" s="2"/>
      <c r="AA150" s="2" t="s">
        <v>51</v>
      </c>
      <c r="AB150" s="2" t="s">
        <v>150</v>
      </c>
      <c r="AC150" s="2"/>
      <c r="AD150" s="2"/>
      <c r="AE150" s="2"/>
    </row>
    <row r="151" ht="15.75" customHeight="1">
      <c r="A151" s="2">
        <v>150.0</v>
      </c>
      <c r="B151" s="2" t="s">
        <v>440</v>
      </c>
      <c r="C151" s="2" t="s">
        <v>77</v>
      </c>
      <c r="D151" s="2" t="s">
        <v>33</v>
      </c>
      <c r="E151" s="2" t="s">
        <v>64</v>
      </c>
      <c r="F151" s="3" t="s">
        <v>35</v>
      </c>
      <c r="G151" s="2"/>
      <c r="H151" s="2" t="s">
        <v>64</v>
      </c>
      <c r="I151" s="2" t="s">
        <v>36</v>
      </c>
      <c r="J151" s="2" t="s">
        <v>78</v>
      </c>
      <c r="K151" s="4" t="str">
        <f t="shared" si="19"/>
        <v>Abrir enlace</v>
      </c>
      <c r="L151" s="2" t="s">
        <v>442</v>
      </c>
      <c r="M151" s="2"/>
      <c r="N151" s="2" t="s">
        <v>39</v>
      </c>
      <c r="O151" s="2"/>
      <c r="P151" s="4" t="str">
        <f t="shared" si="20"/>
        <v>Abrir enlace</v>
      </c>
      <c r="Q151" s="2"/>
      <c r="R151" s="2"/>
      <c r="S151" s="2"/>
      <c r="T151" s="2"/>
      <c r="U151" s="2"/>
      <c r="V151" s="2"/>
      <c r="W151" s="2"/>
      <c r="X151" s="2"/>
      <c r="Y151" s="2"/>
      <c r="Z151" s="2"/>
      <c r="AA151" s="2" t="s">
        <v>51</v>
      </c>
      <c r="AB151" s="2" t="s">
        <v>80</v>
      </c>
      <c r="AC151" s="2"/>
      <c r="AD151" s="2"/>
      <c r="AE151" s="2"/>
    </row>
    <row r="152" ht="15.75" customHeight="1">
      <c r="A152" s="2">
        <v>151.0</v>
      </c>
      <c r="B152" s="2" t="s">
        <v>440</v>
      </c>
      <c r="C152" s="2" t="s">
        <v>77</v>
      </c>
      <c r="D152" s="2" t="s">
        <v>33</v>
      </c>
      <c r="E152" s="2" t="s">
        <v>64</v>
      </c>
      <c r="F152" s="3" t="s">
        <v>35</v>
      </c>
      <c r="G152" s="2"/>
      <c r="H152" s="2" t="s">
        <v>64</v>
      </c>
      <c r="I152" s="2" t="s">
        <v>36</v>
      </c>
      <c r="J152" s="2" t="s">
        <v>78</v>
      </c>
      <c r="K152" s="4" t="str">
        <f t="shared" si="19"/>
        <v>Abrir enlace</v>
      </c>
      <c r="L152" s="2" t="s">
        <v>442</v>
      </c>
      <c r="M152" s="2"/>
      <c r="N152" s="2" t="s">
        <v>39</v>
      </c>
      <c r="O152" s="2"/>
      <c r="P152" s="4" t="str">
        <f t="shared" si="20"/>
        <v>Abrir enlace</v>
      </c>
      <c r="Q152" s="2"/>
      <c r="R152" s="2"/>
      <c r="S152" s="2"/>
      <c r="T152" s="2"/>
      <c r="U152" s="2"/>
      <c r="V152" s="2"/>
      <c r="W152" s="2"/>
      <c r="X152" s="2"/>
      <c r="Y152" s="2"/>
      <c r="Z152" s="2"/>
      <c r="AA152" s="2" t="s">
        <v>51</v>
      </c>
      <c r="AB152" s="2" t="s">
        <v>80</v>
      </c>
      <c r="AC152" s="2"/>
      <c r="AD152" s="2"/>
      <c r="AE152" s="2"/>
    </row>
    <row r="153" ht="15.75" customHeight="1">
      <c r="A153" s="2">
        <v>152.0</v>
      </c>
      <c r="B153" s="2" t="s">
        <v>443</v>
      </c>
      <c r="C153" s="2" t="s">
        <v>444</v>
      </c>
      <c r="D153" s="2" t="s">
        <v>33</v>
      </c>
      <c r="E153" s="2" t="s">
        <v>34</v>
      </c>
      <c r="F153" s="3" t="s">
        <v>35</v>
      </c>
      <c r="G153" s="2"/>
      <c r="H153" s="2" t="s">
        <v>34</v>
      </c>
      <c r="I153" s="2" t="s">
        <v>36</v>
      </c>
      <c r="J153" s="2" t="s">
        <v>37</v>
      </c>
      <c r="K153" s="4" t="str">
        <f>HYPERLINK("http://books.google.com.mx/books?id=lp65HAAACAAJ&amp;dq=Tthe+tourusts%27+guide+to+Dublin+%26+Wicklow&amp;hl=&amp;as_pt=BOOKS&amp;source=gbs_api","Abrir enlace")</f>
        <v>Abrir enlace</v>
      </c>
      <c r="L153" s="2" t="s">
        <v>445</v>
      </c>
      <c r="M153" s="2"/>
      <c r="N153" s="2" t="s">
        <v>39</v>
      </c>
      <c r="O153" s="2"/>
      <c r="P153" s="4" t="str">
        <f>HYPERLINK("http://books.google.com.mx/books?id=lp65HAAACAAJ&amp;dq=Tthe+tourusts%27+guide+to+Dublin+%26+Wicklow&amp;hl=&amp;as_pt=BOOKS&amp;source=gbs_api","Abrir enlace")</f>
        <v>Abrir enlace</v>
      </c>
      <c r="Q153" s="2"/>
      <c r="R153" s="2"/>
      <c r="S153" s="2"/>
      <c r="T153" s="2"/>
      <c r="U153" s="2"/>
      <c r="V153" s="2"/>
      <c r="W153" s="2"/>
      <c r="X153" s="2"/>
      <c r="Y153" s="2"/>
      <c r="Z153" s="2"/>
      <c r="AA153" s="2" t="s">
        <v>66</v>
      </c>
      <c r="AB153" s="2" t="s">
        <v>41</v>
      </c>
      <c r="AC153" s="2"/>
      <c r="AD153" s="2"/>
      <c r="AE153" s="2"/>
    </row>
    <row r="154" ht="15.75" customHeight="1">
      <c r="A154" s="2">
        <v>154.0</v>
      </c>
      <c r="B154" s="2" t="s">
        <v>446</v>
      </c>
      <c r="C154" s="2" t="s">
        <v>447</v>
      </c>
      <c r="D154" s="2" t="s">
        <v>33</v>
      </c>
      <c r="E154" s="2" t="s">
        <v>70</v>
      </c>
      <c r="F154" s="2" t="s">
        <v>35</v>
      </c>
      <c r="G154" s="2"/>
      <c r="H154" s="2" t="s">
        <v>70</v>
      </c>
      <c r="I154" s="2" t="s">
        <v>36</v>
      </c>
      <c r="J154" s="2" t="s">
        <v>448</v>
      </c>
      <c r="K154" s="4" t="str">
        <f>HYPERLINK("https://book1.es/charles-loudon-bloxam","Abrir enlace")</f>
        <v>Abrir enlace</v>
      </c>
      <c r="L154" s="2" t="s">
        <v>449</v>
      </c>
      <c r="M154" s="2"/>
      <c r="N154" s="2" t="s">
        <v>91</v>
      </c>
      <c r="O154" s="2" t="s">
        <v>450</v>
      </c>
      <c r="P154" s="4" t="str">
        <f>HYPERLINK("https://book1.es/charles-loudon-bloxam","Abrir enlace")</f>
        <v>Abrir enlace</v>
      </c>
      <c r="Q154" s="2" t="s">
        <v>451</v>
      </c>
      <c r="R154" s="2"/>
      <c r="S154" s="2" t="s">
        <v>91</v>
      </c>
      <c r="T154" s="2" t="s">
        <v>452</v>
      </c>
      <c r="U154" s="4" t="str">
        <f>HYPERLINK("https://ahcm.cinvestav.mx/items/29ad4092-517f-4df8-a3da-d56f34b94da3","Abrir enlace")</f>
        <v>Abrir enlace</v>
      </c>
      <c r="V154" s="2" t="s">
        <v>453</v>
      </c>
      <c r="W154" s="2"/>
      <c r="X154" s="2" t="s">
        <v>91</v>
      </c>
      <c r="Y154" s="2" t="s">
        <v>454</v>
      </c>
      <c r="Z154" s="4" t="str">
        <f>HYPERLINK("https://archive.org/details/b21919872","Abrir enlace")</f>
        <v>Abrir enlace</v>
      </c>
      <c r="AA154" s="2"/>
      <c r="AB154" s="2"/>
      <c r="AC154" s="2"/>
      <c r="AD154" s="2"/>
      <c r="AE154" s="2"/>
    </row>
    <row r="155" ht="15.75" customHeight="1">
      <c r="A155" s="2">
        <v>155.0</v>
      </c>
      <c r="B155" s="2" t="s">
        <v>455</v>
      </c>
      <c r="C155" s="2" t="s">
        <v>456</v>
      </c>
      <c r="D155" s="2" t="s">
        <v>33</v>
      </c>
      <c r="E155" s="2" t="s">
        <v>64</v>
      </c>
      <c r="F155" s="3" t="s">
        <v>35</v>
      </c>
      <c r="G155" s="2"/>
      <c r="H155" s="2" t="s">
        <v>64</v>
      </c>
      <c r="I155" s="2" t="s">
        <v>36</v>
      </c>
      <c r="J155" s="2" t="s">
        <v>37</v>
      </c>
      <c r="K155" s="4" t="str">
        <f>HYPERLINK("https://archive.org/details/bub_gb_dsQ7p0IrQRMC","Abrir enlace")</f>
        <v>Abrir enlace</v>
      </c>
      <c r="L155" s="2" t="s">
        <v>457</v>
      </c>
      <c r="M155" s="2"/>
      <c r="N155" s="2" t="s">
        <v>54</v>
      </c>
      <c r="O155" s="2"/>
      <c r="P155" s="4" t="str">
        <f>HYPERLINK("https://archive.org/details/bub_gb_dsQ7p0IrQRMC","Abrir enlace")</f>
        <v>Abrir enlace</v>
      </c>
      <c r="Q155" s="2"/>
      <c r="R155" s="2"/>
      <c r="S155" s="2"/>
      <c r="T155" s="2"/>
      <c r="U155" s="2"/>
      <c r="V155" s="2"/>
      <c r="W155" s="2"/>
      <c r="X155" s="2"/>
      <c r="Y155" s="2"/>
      <c r="Z155" s="2"/>
      <c r="AA155" s="2" t="s">
        <v>60</v>
      </c>
      <c r="AB155" s="2" t="s">
        <v>67</v>
      </c>
      <c r="AC155" s="2"/>
      <c r="AD155" s="2"/>
      <c r="AE155" s="2"/>
    </row>
    <row r="156" ht="15.75" customHeight="1">
      <c r="A156" s="2">
        <v>156.0</v>
      </c>
      <c r="B156" s="2" t="s">
        <v>458</v>
      </c>
      <c r="C156" s="2" t="s">
        <v>459</v>
      </c>
      <c r="D156" s="2" t="s">
        <v>33</v>
      </c>
      <c r="E156" s="2" t="s">
        <v>34</v>
      </c>
      <c r="F156" s="3" t="s">
        <v>35</v>
      </c>
      <c r="G156" s="2"/>
      <c r="H156" s="2" t="s">
        <v>34</v>
      </c>
      <c r="I156" s="2" t="s">
        <v>36</v>
      </c>
      <c r="J156" s="2" t="s">
        <v>37</v>
      </c>
      <c r="K156" s="4" t="str">
        <f>HYPERLINK("https://archive.org/details/bwb_S0-BTO-675","Abrir enlace")</f>
        <v>Abrir enlace</v>
      </c>
      <c r="L156" s="2" t="s">
        <v>460</v>
      </c>
      <c r="M156" s="2"/>
      <c r="N156" s="2" t="s">
        <v>54</v>
      </c>
      <c r="O156" s="2"/>
      <c r="P156" s="4" t="str">
        <f>HYPERLINK("https://archive.org/details/bwb_S0-BTO-675","Abrir enlace")</f>
        <v>Abrir enlace</v>
      </c>
      <c r="Q156" s="2"/>
      <c r="R156" s="2"/>
      <c r="S156" s="2"/>
      <c r="T156" s="2"/>
      <c r="U156" s="2"/>
      <c r="V156" s="2"/>
      <c r="W156" s="2"/>
      <c r="X156" s="2"/>
      <c r="Y156" s="2"/>
      <c r="Z156" s="2"/>
      <c r="AA156" s="2" t="s">
        <v>66</v>
      </c>
      <c r="AB156" s="2" t="s">
        <v>41</v>
      </c>
      <c r="AC156" s="2"/>
      <c r="AD156" s="2"/>
      <c r="AE156" s="2"/>
    </row>
    <row r="157" ht="15.75" customHeight="1">
      <c r="A157" s="2">
        <v>157.0</v>
      </c>
      <c r="B157" s="2" t="s">
        <v>461</v>
      </c>
      <c r="C157" s="2" t="s">
        <v>285</v>
      </c>
      <c r="D157" s="2" t="s">
        <v>33</v>
      </c>
      <c r="E157" s="2" t="s">
        <v>64</v>
      </c>
      <c r="F157" s="3" t="s">
        <v>35</v>
      </c>
      <c r="G157" s="2"/>
      <c r="H157" s="2" t="s">
        <v>64</v>
      </c>
      <c r="I157" s="2" t="s">
        <v>36</v>
      </c>
      <c r="J157" s="2" t="s">
        <v>37</v>
      </c>
      <c r="K157" s="4" t="str">
        <f>HYPERLINK("http://books.google.com.mx/books?id=PfXHwQEACAAJ&amp;dq=Down+the+bayou+:+An+other+poems&amp;hl=&amp;as_pt=BOOKS&amp;source=gbs_api","Abrir enlace")</f>
        <v>Abrir enlace</v>
      </c>
      <c r="L157" s="2" t="s">
        <v>462</v>
      </c>
      <c r="M157" s="2"/>
      <c r="N157" s="2" t="s">
        <v>39</v>
      </c>
      <c r="O157" s="2"/>
      <c r="P157" s="4" t="str">
        <f>HYPERLINK("http://books.google.com.mx/books?id=PfXHwQEACAAJ&amp;dq=Down+the+bayou+:+An+other+poems&amp;hl=&amp;as_pt=BOOKS&amp;source=gbs_api","Abrir enlace")</f>
        <v>Abrir enlace</v>
      </c>
      <c r="Q157" s="2"/>
      <c r="R157" s="2"/>
      <c r="S157" s="2"/>
      <c r="T157" s="2"/>
      <c r="U157" s="2"/>
      <c r="V157" s="2"/>
      <c r="W157" s="2"/>
      <c r="X157" s="2"/>
      <c r="Y157" s="2"/>
      <c r="Z157" s="2"/>
      <c r="AA157" s="2" t="s">
        <v>66</v>
      </c>
      <c r="AB157" s="2" t="s">
        <v>67</v>
      </c>
      <c r="AC157" s="2"/>
      <c r="AD157" s="2"/>
      <c r="AE157" s="2"/>
    </row>
    <row r="158" ht="15.75" customHeight="1">
      <c r="A158" s="2">
        <v>158.0</v>
      </c>
      <c r="B158" s="2" t="s">
        <v>463</v>
      </c>
      <c r="C158" s="2" t="s">
        <v>464</v>
      </c>
      <c r="D158" s="2" t="s">
        <v>33</v>
      </c>
      <c r="E158" s="2" t="s">
        <v>112</v>
      </c>
      <c r="F158" s="3" t="s">
        <v>35</v>
      </c>
      <c r="G158" s="2"/>
      <c r="H158" s="2" t="s">
        <v>112</v>
      </c>
      <c r="I158" s="2" t="s">
        <v>36</v>
      </c>
      <c r="J158" s="2" t="s">
        <v>37</v>
      </c>
      <c r="K158" s="4" t="str">
        <f>HYPERLINK("http://books.google.com.mx/books?id=KmhAAAAAIAAJ&amp;dq=Pete%27s+name+:+A+divine+credential+in+a+name+Smyth+-+Vaudry,+T.&amp;hl=&amp;as_pt=BOOKS&amp;source=gbs_api","Abrir enlace")</f>
        <v>Abrir enlace</v>
      </c>
      <c r="L158" s="2" t="s">
        <v>465</v>
      </c>
      <c r="M158" s="2"/>
      <c r="N158" s="2" t="s">
        <v>39</v>
      </c>
      <c r="O158" s="2"/>
      <c r="P158" s="4" t="str">
        <f>HYPERLINK("http://books.google.com.mx/books?id=KmhAAAAAIAAJ&amp;dq=Pete%27s+name+:+A+divine+credential+in+a+name+Smyth+-+Vaudry,+T.&amp;hl=&amp;as_pt=BOOKS&amp;source=gbs_api","Abrir enlace")</f>
        <v>Abrir enlace</v>
      </c>
      <c r="Q158" s="2"/>
      <c r="R158" s="2"/>
      <c r="S158" s="2"/>
      <c r="T158" s="2"/>
      <c r="U158" s="2"/>
      <c r="V158" s="2"/>
      <c r="W158" s="2"/>
      <c r="X158" s="2"/>
      <c r="Y158" s="2"/>
      <c r="Z158" s="2"/>
      <c r="AA158" s="2" t="s">
        <v>66</v>
      </c>
      <c r="AB158" s="2" t="s">
        <v>114</v>
      </c>
      <c r="AC158" s="2"/>
      <c r="AD158" s="2"/>
      <c r="AE158" s="2"/>
    </row>
    <row r="159" ht="15.75" customHeight="1">
      <c r="A159" s="2">
        <v>159.0</v>
      </c>
      <c r="B159" s="2" t="s">
        <v>466</v>
      </c>
      <c r="C159" s="2" t="s">
        <v>467</v>
      </c>
      <c r="D159" s="2" t="s">
        <v>33</v>
      </c>
      <c r="E159" s="2" t="s">
        <v>34</v>
      </c>
      <c r="F159" s="3" t="s">
        <v>35</v>
      </c>
      <c r="G159" s="2"/>
      <c r="H159" s="2" t="s">
        <v>34</v>
      </c>
      <c r="I159" s="2" t="s">
        <v>36</v>
      </c>
      <c r="J159" s="2" t="s">
        <v>37</v>
      </c>
      <c r="K159" s="4" t="str">
        <f>HYPERLINK("https://play.google.com/store/books/details?id=zuUy7tVRYSUC&amp;source=gbs_api","Abrir enlace")</f>
        <v>Abrir enlace</v>
      </c>
      <c r="L159" s="2" t="s">
        <v>468</v>
      </c>
      <c r="M159" s="2"/>
      <c r="N159" s="2" t="s">
        <v>39</v>
      </c>
      <c r="O159" s="2"/>
      <c r="P159" s="4" t="str">
        <f>HYPERLINK("https://play.google.com/store/books/details?id=zuUy7tVRYSUC&amp;source=gbs_api","Abrir enlace")</f>
        <v>Abrir enlace</v>
      </c>
      <c r="Q159" s="2"/>
      <c r="R159" s="2"/>
      <c r="S159" s="2"/>
      <c r="T159" s="2"/>
      <c r="U159" s="2"/>
      <c r="V159" s="2"/>
      <c r="W159" s="2"/>
      <c r="X159" s="2"/>
      <c r="Y159" s="2"/>
      <c r="Z159" s="2"/>
      <c r="AA159" s="2" t="s">
        <v>40</v>
      </c>
      <c r="AB159" s="2" t="s">
        <v>41</v>
      </c>
      <c r="AC159" s="2"/>
      <c r="AD159" s="2"/>
      <c r="AE159" s="2"/>
    </row>
    <row r="160" ht="15.75" customHeight="1">
      <c r="A160" s="2">
        <v>160.0</v>
      </c>
      <c r="B160" s="2" t="s">
        <v>469</v>
      </c>
      <c r="C160" s="2" t="s">
        <v>470</v>
      </c>
      <c r="D160" s="2" t="s">
        <v>49</v>
      </c>
      <c r="E160" s="2" t="s">
        <v>112</v>
      </c>
      <c r="F160" s="3" t="s">
        <v>35</v>
      </c>
      <c r="G160" s="2"/>
      <c r="H160" s="2" t="s">
        <v>112</v>
      </c>
      <c r="I160" s="2" t="s">
        <v>168</v>
      </c>
      <c r="J160" s="2" t="s">
        <v>471</v>
      </c>
      <c r="K160" s="4" t="str">
        <f>HYPERLINK("http://books.google.com.mx/books?id=BQjVEAAAQBAJ&amp;dq=The+dairyman%27s+daughter&amp;hl=&amp;as_pt=BOOKS&amp;source=gbs_api","Abrir enlace")</f>
        <v>Abrir enlace</v>
      </c>
      <c r="L160" s="2" t="s">
        <v>472</v>
      </c>
      <c r="M160" s="2"/>
      <c r="N160" s="2" t="s">
        <v>39</v>
      </c>
      <c r="O160" s="2"/>
      <c r="P160" s="4" t="str">
        <f>HYPERLINK("http://books.google.com.mx/books?id=BQjVEAAAQBAJ&amp;dq=The+dairyman%27s+daughter&amp;hl=&amp;as_pt=BOOKS&amp;source=gbs_api","Abrir enlace")</f>
        <v>Abrir enlace</v>
      </c>
      <c r="Q160" s="2"/>
      <c r="R160" s="2"/>
      <c r="S160" s="2"/>
      <c r="T160" s="2"/>
      <c r="U160" s="2"/>
      <c r="V160" s="2"/>
      <c r="W160" s="2"/>
      <c r="X160" s="2"/>
      <c r="Y160" s="2"/>
      <c r="Z160" s="2"/>
      <c r="AA160" s="2" t="s">
        <v>66</v>
      </c>
      <c r="AB160" s="2" t="s">
        <v>473</v>
      </c>
      <c r="AC160" s="2"/>
      <c r="AD160" s="2"/>
      <c r="AE160" s="2"/>
    </row>
    <row r="161" ht="15.75" customHeight="1">
      <c r="A161" s="2">
        <v>161.0</v>
      </c>
      <c r="B161" s="2" t="s">
        <v>474</v>
      </c>
      <c r="C161" s="2" t="s">
        <v>475</v>
      </c>
      <c r="D161" s="2" t="s">
        <v>33</v>
      </c>
      <c r="E161" s="2" t="s">
        <v>64</v>
      </c>
      <c r="F161" s="2" t="s">
        <v>35</v>
      </c>
      <c r="G161" s="2"/>
      <c r="H161" s="2" t="s">
        <v>64</v>
      </c>
      <c r="I161" s="2" t="s">
        <v>36</v>
      </c>
      <c r="J161" s="2" t="s">
        <v>476</v>
      </c>
      <c r="K161" s="4" t="str">
        <f>HYPERLINK("https://www.amazon.co.uk/Pindarus-exstiterit-proponebat-facultati-litterarum/dp/B0017EMG50","Abrir enlace")</f>
        <v>Abrir enlace</v>
      </c>
      <c r="L161" s="2" t="s">
        <v>477</v>
      </c>
      <c r="M161" s="2"/>
      <c r="N161" s="2" t="s">
        <v>91</v>
      </c>
      <c r="O161" s="2" t="s">
        <v>478</v>
      </c>
      <c r="P161" s="4" t="str">
        <f>HYPERLINK("https://www.amazon.co.uk/Pindarus-exstiterit-proponebat-facultati-litterarum/dp/B0017EMG50","Abrir enlace")</f>
        <v>Abrir enlace</v>
      </c>
      <c r="Q161" s="2" t="s">
        <v>479</v>
      </c>
      <c r="R161" s="2"/>
      <c r="S161" s="2" t="s">
        <v>91</v>
      </c>
      <c r="T161" s="2" t="s">
        <v>480</v>
      </c>
      <c r="U161" s="4" t="str">
        <f>HYPERLINK("https://www.amazon.fr/qualis-Pindarus-moralium-exstiterit-proponebat/dp/B001BVUTDU","Abrir enlace")</f>
        <v>Abrir enlace</v>
      </c>
      <c r="V161" s="2" t="s">
        <v>481</v>
      </c>
      <c r="W161" s="2"/>
      <c r="X161" s="2" t="s">
        <v>91</v>
      </c>
      <c r="Y161" s="2" t="s">
        <v>482</v>
      </c>
      <c r="Z161" s="4" t="str">
        <f>HYPERLINK("https://de.wikipedia.org/wiki/Pierre_Montée","Abrir enlace")</f>
        <v>Abrir enlace</v>
      </c>
      <c r="AA161" s="2"/>
      <c r="AB161" s="2"/>
      <c r="AC161" s="2"/>
      <c r="AD161" s="2"/>
      <c r="AE161" s="2"/>
    </row>
    <row r="162" ht="15.75" customHeight="1">
      <c r="A162" s="2">
        <v>162.0</v>
      </c>
      <c r="B162" s="2" t="s">
        <v>483</v>
      </c>
      <c r="C162" s="2" t="s">
        <v>484</v>
      </c>
      <c r="D162" s="2" t="s">
        <v>165</v>
      </c>
      <c r="E162" s="2" t="s">
        <v>64</v>
      </c>
      <c r="F162" s="3" t="s">
        <v>35</v>
      </c>
      <c r="G162" s="2"/>
      <c r="H162" s="2" t="s">
        <v>64</v>
      </c>
      <c r="I162" s="2" t="s">
        <v>36</v>
      </c>
      <c r="J162" s="2" t="s">
        <v>37</v>
      </c>
      <c r="K162" s="4" t="str">
        <f>HYPERLINK("https://play.google.com/store/books/details?id=w2w1AQAAMAAJ&amp;source=gbs_api","Abrir enlace")</f>
        <v>Abrir enlace</v>
      </c>
      <c r="L162" s="2" t="s">
        <v>485</v>
      </c>
      <c r="M162" s="2"/>
      <c r="N162" s="2" t="s">
        <v>39</v>
      </c>
      <c r="O162" s="2"/>
      <c r="P162" s="4" t="str">
        <f>HYPERLINK("https://play.google.com/store/books/details?id=w2w1AQAAMAAJ&amp;source=gbs_api","Abrir enlace")</f>
        <v>Abrir enlace</v>
      </c>
      <c r="Q162" s="2"/>
      <c r="R162" s="2"/>
      <c r="S162" s="2"/>
      <c r="T162" s="2"/>
      <c r="U162" s="2"/>
      <c r="V162" s="2"/>
      <c r="W162" s="2"/>
      <c r="X162" s="2"/>
      <c r="Y162" s="2"/>
      <c r="Z162" s="2"/>
      <c r="AA162" s="2" t="s">
        <v>66</v>
      </c>
      <c r="AB162" s="2" t="s">
        <v>67</v>
      </c>
      <c r="AC162" s="2"/>
      <c r="AD162" s="2"/>
      <c r="AE162" s="2"/>
    </row>
    <row r="163" ht="15.75" customHeight="1">
      <c r="A163" s="2">
        <v>163.0</v>
      </c>
      <c r="B163" s="2" t="s">
        <v>486</v>
      </c>
      <c r="C163" s="2" t="s">
        <v>487</v>
      </c>
      <c r="D163" s="2" t="s">
        <v>165</v>
      </c>
      <c r="E163" s="2" t="s">
        <v>34</v>
      </c>
      <c r="F163" s="3" t="s">
        <v>35</v>
      </c>
      <c r="G163" s="2"/>
      <c r="H163" s="2" t="s">
        <v>34</v>
      </c>
      <c r="I163" s="2" t="s">
        <v>36</v>
      </c>
      <c r="J163" s="2" t="s">
        <v>488</v>
      </c>
      <c r="K163" s="4" t="str">
        <f>HYPERLINK("http://books.google.com.mx/books?id=ziYDAAAAYAAJ&amp;dq=Ireland%27s+case+state+Froude&amp;hl=&amp;as_pt=BOOKS&amp;source=gbs_api","Abrir enlace")</f>
        <v>Abrir enlace</v>
      </c>
      <c r="L163" s="2" t="s">
        <v>489</v>
      </c>
      <c r="M163" s="2"/>
      <c r="N163" s="2" t="s">
        <v>39</v>
      </c>
      <c r="O163" s="2"/>
      <c r="P163" s="4" t="str">
        <f>HYPERLINK("http://books.google.com.mx/books?id=ziYDAAAAYAAJ&amp;dq=Ireland%27s+case+state+Froude&amp;hl=&amp;as_pt=BOOKS&amp;source=gbs_api","Abrir enlace")</f>
        <v>Abrir enlace</v>
      </c>
      <c r="Q163" s="2"/>
      <c r="R163" s="2"/>
      <c r="S163" s="2"/>
      <c r="T163" s="2"/>
      <c r="U163" s="2"/>
      <c r="V163" s="2"/>
      <c r="W163" s="2"/>
      <c r="X163" s="2"/>
      <c r="Y163" s="2"/>
      <c r="Z163" s="2"/>
      <c r="AA163" s="2" t="s">
        <v>66</v>
      </c>
      <c r="AB163" s="2" t="s">
        <v>490</v>
      </c>
      <c r="AC163" s="2"/>
      <c r="AD163" s="2"/>
      <c r="AE163" s="2"/>
    </row>
    <row r="164" ht="15.75" customHeight="1">
      <c r="A164" s="2">
        <v>164.0</v>
      </c>
      <c r="B164" s="2" t="s">
        <v>491</v>
      </c>
      <c r="C164" s="2"/>
      <c r="D164" s="2" t="s">
        <v>49</v>
      </c>
      <c r="E164" s="2" t="s">
        <v>34</v>
      </c>
      <c r="F164" s="3" t="s">
        <v>35</v>
      </c>
      <c r="G164" s="2" t="s">
        <v>492</v>
      </c>
      <c r="H164" s="2" t="s">
        <v>34</v>
      </c>
      <c r="I164" s="2" t="s">
        <v>36</v>
      </c>
      <c r="J164" s="2" t="s">
        <v>493</v>
      </c>
      <c r="K164" s="4" t="str">
        <f>HYPERLINK("https://openlibrary.org/works/OL19103967W","Abrir enlace")</f>
        <v>Abrir enlace</v>
      </c>
      <c r="L164" s="2" t="s">
        <v>494</v>
      </c>
      <c r="M164" s="2"/>
      <c r="N164" s="2" t="s">
        <v>45</v>
      </c>
      <c r="O164" s="2"/>
      <c r="P164" s="4" t="str">
        <f>HYPERLINK("https://openlibrary.org/works/OL19103967W","Abrir enlace")</f>
        <v>Abrir enlace</v>
      </c>
      <c r="Q164" s="2"/>
      <c r="R164" s="2"/>
      <c r="S164" s="2"/>
      <c r="T164" s="2"/>
      <c r="U164" s="2"/>
      <c r="V164" s="2"/>
      <c r="W164" s="2"/>
      <c r="X164" s="2"/>
      <c r="Y164" s="2"/>
      <c r="Z164" s="2"/>
      <c r="AA164" s="2" t="s">
        <v>495</v>
      </c>
      <c r="AB164" s="2" t="s">
        <v>496</v>
      </c>
      <c r="AC164" s="2" t="s">
        <v>492</v>
      </c>
      <c r="AD164" s="2"/>
      <c r="AE164" s="2"/>
    </row>
    <row r="165" ht="15.75" customHeight="1">
      <c r="A165" s="2">
        <v>165.0</v>
      </c>
      <c r="B165" s="2" t="s">
        <v>497</v>
      </c>
      <c r="C165" s="2" t="s">
        <v>498</v>
      </c>
      <c r="D165" s="2" t="s">
        <v>33</v>
      </c>
      <c r="E165" s="2" t="s">
        <v>34</v>
      </c>
      <c r="F165" s="3" t="s">
        <v>35</v>
      </c>
      <c r="G165" s="2"/>
      <c r="H165" s="2" t="s">
        <v>34</v>
      </c>
      <c r="I165" s="2" t="s">
        <v>36</v>
      </c>
      <c r="J165" s="2" t="s">
        <v>499</v>
      </c>
      <c r="K165" s="4" t="str">
        <f>HYPERLINK("https://fr.wikisource.org/wiki/Souvenirs_de_campagne_par_le_Soldat_Silbermann","Abrir enlace")</f>
        <v>Abrir enlace</v>
      </c>
      <c r="L165" s="2" t="s">
        <v>500</v>
      </c>
      <c r="M165" s="2"/>
      <c r="N165" s="2" t="s">
        <v>45</v>
      </c>
      <c r="O165" s="2"/>
      <c r="P165" s="4" t="str">
        <f>HYPERLINK("https://fr.wikisource.org/wiki/Souvenirs_de_campagne_par_le_Soldat_Silbermann","Abrir enlace")</f>
        <v>Abrir enlace</v>
      </c>
      <c r="Q165" s="2"/>
      <c r="R165" s="2"/>
      <c r="S165" s="2"/>
      <c r="T165" s="2"/>
      <c r="U165" s="2"/>
      <c r="V165" s="2"/>
      <c r="W165" s="2"/>
      <c r="X165" s="2"/>
      <c r="Y165" s="2"/>
      <c r="Z165" s="2"/>
      <c r="AA165" s="2" t="s">
        <v>40</v>
      </c>
      <c r="AB165" s="2" t="s">
        <v>501</v>
      </c>
      <c r="AC165" s="2"/>
      <c r="AD165" s="2"/>
      <c r="AE165" s="2"/>
    </row>
    <row r="166" ht="15.75" customHeight="1">
      <c r="A166" s="2">
        <v>166.0</v>
      </c>
      <c r="B166" s="2" t="s">
        <v>502</v>
      </c>
      <c r="C166" s="2" t="s">
        <v>77</v>
      </c>
      <c r="D166" s="2" t="s">
        <v>49</v>
      </c>
      <c r="E166" s="2" t="s">
        <v>64</v>
      </c>
      <c r="F166" s="3" t="s">
        <v>35</v>
      </c>
      <c r="G166" s="2"/>
      <c r="H166" s="2" t="s">
        <v>64</v>
      </c>
      <c r="I166" s="2" t="s">
        <v>36</v>
      </c>
      <c r="J166" s="2" t="s">
        <v>78</v>
      </c>
      <c r="K166" s="4" t="str">
        <f>HYPERLINK("https://openlibrary.org/works/OL863587W","Abrir enlace")</f>
        <v>Abrir enlace</v>
      </c>
      <c r="L166" s="2" t="s">
        <v>502</v>
      </c>
      <c r="M166" s="2"/>
      <c r="N166" s="2" t="s">
        <v>45</v>
      </c>
      <c r="O166" s="2"/>
      <c r="P166" s="4" t="str">
        <f>HYPERLINK("https://openlibrary.org/works/OL863587W","Abrir enlace")</f>
        <v>Abrir enlace</v>
      </c>
      <c r="Q166" s="2"/>
      <c r="R166" s="2"/>
      <c r="S166" s="2"/>
      <c r="T166" s="2"/>
      <c r="U166" s="2"/>
      <c r="V166" s="2"/>
      <c r="W166" s="2"/>
      <c r="X166" s="2"/>
      <c r="Y166" s="2"/>
      <c r="Z166" s="2"/>
      <c r="AA166" s="2" t="s">
        <v>66</v>
      </c>
      <c r="AB166" s="2" t="s">
        <v>80</v>
      </c>
      <c r="AC166" s="2"/>
      <c r="AD166" s="2"/>
      <c r="AE166" s="2"/>
    </row>
    <row r="167" ht="15.75" customHeight="1">
      <c r="A167" s="2">
        <v>167.0</v>
      </c>
      <c r="B167" s="2" t="s">
        <v>503</v>
      </c>
      <c r="C167" s="2" t="s">
        <v>77</v>
      </c>
      <c r="D167" s="2" t="s">
        <v>33</v>
      </c>
      <c r="E167" s="2" t="s">
        <v>64</v>
      </c>
      <c r="F167" s="3" t="s">
        <v>35</v>
      </c>
      <c r="G167" s="2"/>
      <c r="H167" s="2" t="s">
        <v>64</v>
      </c>
      <c r="I167" s="2" t="s">
        <v>36</v>
      </c>
      <c r="J167" s="2" t="s">
        <v>504</v>
      </c>
      <c r="K167" s="4" t="str">
        <f>HYPERLINK("https://archive.org/details/blackdwarfoldmor00scot","Abrir enlace")</f>
        <v>Abrir enlace</v>
      </c>
      <c r="L167" s="2" t="s">
        <v>505</v>
      </c>
      <c r="M167" s="2"/>
      <c r="N167" s="2" t="s">
        <v>54</v>
      </c>
      <c r="O167" s="2"/>
      <c r="P167" s="4" t="str">
        <f>HYPERLINK("https://archive.org/details/blackdwarfoldmor00scot","Abrir enlace")</f>
        <v>Abrir enlace</v>
      </c>
      <c r="Q167" s="2"/>
      <c r="R167" s="2"/>
      <c r="S167" s="2"/>
      <c r="T167" s="2"/>
      <c r="U167" s="2"/>
      <c r="V167" s="2"/>
      <c r="W167" s="2"/>
      <c r="X167" s="2"/>
      <c r="Y167" s="2"/>
      <c r="Z167" s="2"/>
      <c r="AA167" s="2" t="s">
        <v>66</v>
      </c>
      <c r="AB167" s="2" t="s">
        <v>150</v>
      </c>
      <c r="AC167" s="2"/>
      <c r="AD167" s="2"/>
      <c r="AE167" s="2"/>
    </row>
    <row r="168" ht="15.75" customHeight="1">
      <c r="A168" s="2">
        <v>168.0</v>
      </c>
      <c r="B168" s="2" t="s">
        <v>506</v>
      </c>
      <c r="C168" s="2" t="s">
        <v>77</v>
      </c>
      <c r="D168" s="2" t="s">
        <v>33</v>
      </c>
      <c r="E168" s="2" t="s">
        <v>64</v>
      </c>
      <c r="F168" s="3" t="s">
        <v>35</v>
      </c>
      <c r="G168" s="2"/>
      <c r="H168" s="2" t="s">
        <v>64</v>
      </c>
      <c r="I168" s="2" t="s">
        <v>36</v>
      </c>
      <c r="J168" s="2" t="s">
        <v>78</v>
      </c>
      <c r="K168" s="4" t="str">
        <f>HYPERLINK("https://archive.org/details/fortunesofnigel0000scot_e6w6","Abrir enlace")</f>
        <v>Abrir enlace</v>
      </c>
      <c r="L168" s="2" t="s">
        <v>507</v>
      </c>
      <c r="M168" s="2"/>
      <c r="N168" s="2" t="s">
        <v>54</v>
      </c>
      <c r="O168" s="2"/>
      <c r="P168" s="4" t="str">
        <f>HYPERLINK("https://archive.org/details/fortunesofnigel0000scot_e6w6","Abrir enlace")</f>
        <v>Abrir enlace</v>
      </c>
      <c r="Q168" s="2"/>
      <c r="R168" s="2"/>
      <c r="S168" s="2"/>
      <c r="T168" s="2"/>
      <c r="U168" s="2"/>
      <c r="V168" s="2"/>
      <c r="W168" s="2"/>
      <c r="X168" s="2"/>
      <c r="Y168" s="2"/>
      <c r="Z168" s="2"/>
      <c r="AA168" s="2" t="s">
        <v>66</v>
      </c>
      <c r="AB168" s="2" t="s">
        <v>80</v>
      </c>
      <c r="AC168" s="2"/>
      <c r="AD168" s="2"/>
      <c r="AE168" s="2"/>
    </row>
    <row r="169" ht="15.75" customHeight="1">
      <c r="A169" s="2">
        <v>169.0</v>
      </c>
      <c r="B169" s="2" t="s">
        <v>508</v>
      </c>
      <c r="C169" s="2" t="s">
        <v>77</v>
      </c>
      <c r="D169" s="2" t="s">
        <v>33</v>
      </c>
      <c r="E169" s="2" t="s">
        <v>64</v>
      </c>
      <c r="F169" s="3" t="s">
        <v>35</v>
      </c>
      <c r="G169" s="2"/>
      <c r="H169" s="2" t="s">
        <v>64</v>
      </c>
      <c r="I169" s="2" t="s">
        <v>36</v>
      </c>
      <c r="J169" s="2" t="s">
        <v>78</v>
      </c>
      <c r="K169" s="4" t="str">
        <f>HYPERLINK("https://openlibrary.org/works/OL863793W","Abrir enlace")</f>
        <v>Abrir enlace</v>
      </c>
      <c r="L169" s="2" t="s">
        <v>509</v>
      </c>
      <c r="M169" s="2"/>
      <c r="N169" s="2" t="s">
        <v>45</v>
      </c>
      <c r="O169" s="2"/>
      <c r="P169" s="4" t="str">
        <f>HYPERLINK("https://openlibrary.org/works/OL863793W","Abrir enlace")</f>
        <v>Abrir enlace</v>
      </c>
      <c r="Q169" s="2"/>
      <c r="R169" s="2"/>
      <c r="S169" s="2"/>
      <c r="T169" s="2"/>
      <c r="U169" s="2"/>
      <c r="V169" s="2"/>
      <c r="W169" s="2"/>
      <c r="X169" s="2"/>
      <c r="Y169" s="2"/>
      <c r="Z169" s="2"/>
      <c r="AA169" s="2" t="s">
        <v>66</v>
      </c>
      <c r="AB169" s="2" t="s">
        <v>80</v>
      </c>
      <c r="AC169" s="2"/>
      <c r="AD169" s="2"/>
      <c r="AE169" s="2"/>
    </row>
    <row r="170" ht="15.75" customHeight="1">
      <c r="A170" s="2">
        <v>170.0</v>
      </c>
      <c r="B170" s="2" t="s">
        <v>510</v>
      </c>
      <c r="C170" s="2" t="s">
        <v>77</v>
      </c>
      <c r="D170" s="2" t="s">
        <v>33</v>
      </c>
      <c r="E170" s="2" t="s">
        <v>64</v>
      </c>
      <c r="F170" s="3" t="s">
        <v>35</v>
      </c>
      <c r="G170" s="2"/>
      <c r="H170" s="2" t="s">
        <v>64</v>
      </c>
      <c r="I170" s="2" t="s">
        <v>36</v>
      </c>
      <c r="J170" s="2" t="s">
        <v>78</v>
      </c>
      <c r="K170" s="4" t="str">
        <f>HYPERLINK("http://books.google.com.mx/books?id=fJAmHQAACAAJ&amp;dq=Ivanhoe+and+The+Talisman&amp;hl=&amp;as_pt=BOOKS&amp;source=gbs_api","Abrir enlace")</f>
        <v>Abrir enlace</v>
      </c>
      <c r="L170" s="2" t="s">
        <v>511</v>
      </c>
      <c r="M170" s="2"/>
      <c r="N170" s="2" t="s">
        <v>39</v>
      </c>
      <c r="O170" s="2"/>
      <c r="P170" s="4" t="str">
        <f>HYPERLINK("http://books.google.com.mx/books?id=fJAmHQAACAAJ&amp;dq=Ivanhoe+and+The+Talisman&amp;hl=&amp;as_pt=BOOKS&amp;source=gbs_api","Abrir enlace")</f>
        <v>Abrir enlace</v>
      </c>
      <c r="Q170" s="2"/>
      <c r="R170" s="2"/>
      <c r="S170" s="2"/>
      <c r="T170" s="2"/>
      <c r="U170" s="2"/>
      <c r="V170" s="2"/>
      <c r="W170" s="2"/>
      <c r="X170" s="2"/>
      <c r="Y170" s="2"/>
      <c r="Z170" s="2"/>
      <c r="AA170" s="2" t="s">
        <v>66</v>
      </c>
      <c r="AB170" s="2" t="s">
        <v>80</v>
      </c>
      <c r="AC170" s="2"/>
      <c r="AD170" s="2"/>
      <c r="AE170" s="2"/>
    </row>
    <row r="171" ht="15.75" customHeight="1">
      <c r="A171" s="2">
        <v>171.0</v>
      </c>
      <c r="B171" s="2" t="s">
        <v>512</v>
      </c>
      <c r="C171" s="2" t="s">
        <v>77</v>
      </c>
      <c r="D171" s="2" t="s">
        <v>33</v>
      </c>
      <c r="E171" s="2" t="s">
        <v>64</v>
      </c>
      <c r="F171" s="3" t="s">
        <v>35</v>
      </c>
      <c r="G171" s="2"/>
      <c r="H171" s="2" t="s">
        <v>64</v>
      </c>
      <c r="I171" s="2" t="s">
        <v>36</v>
      </c>
      <c r="J171" s="2" t="s">
        <v>513</v>
      </c>
      <c r="K171" s="4" t="str">
        <f>HYPERLINK("http://books.google.com.mx/books?id=XMxLXwAACAAJ&amp;dq=bride+of+lammermoor+legend+of+montrose+and+chronicles+scott+walter&amp;hl=&amp;as_pt=BOOKS&amp;source=gbs_api","Abrir enlace")</f>
        <v>Abrir enlace</v>
      </c>
      <c r="L171" s="2" t="s">
        <v>514</v>
      </c>
      <c r="M171" s="2"/>
      <c r="N171" s="2" t="s">
        <v>39</v>
      </c>
      <c r="O171" s="2"/>
      <c r="P171" s="4" t="str">
        <f>HYPERLINK("http://books.google.com.mx/books?id=XMxLXwAACAAJ&amp;dq=bride+of+lammermoor+legend+of+montrose+and+chronicles+scott+walter&amp;hl=&amp;as_pt=BOOKS&amp;source=gbs_api","Abrir enlace")</f>
        <v>Abrir enlace</v>
      </c>
      <c r="Q171" s="2"/>
      <c r="R171" s="2"/>
      <c r="S171" s="2"/>
      <c r="T171" s="2"/>
      <c r="U171" s="2"/>
      <c r="V171" s="2"/>
      <c r="W171" s="2"/>
      <c r="X171" s="2"/>
      <c r="Y171" s="2"/>
      <c r="Z171" s="2"/>
      <c r="AA171" s="2" t="s">
        <v>66</v>
      </c>
      <c r="AB171" s="2" t="s">
        <v>150</v>
      </c>
      <c r="AC171" s="2"/>
      <c r="AD171" s="2"/>
      <c r="AE171" s="2"/>
    </row>
    <row r="172" ht="15.75" customHeight="1">
      <c r="A172" s="2">
        <v>172.0</v>
      </c>
      <c r="B172" s="2" t="s">
        <v>515</v>
      </c>
      <c r="C172" s="2" t="s">
        <v>77</v>
      </c>
      <c r="D172" s="2" t="s">
        <v>33</v>
      </c>
      <c r="E172" s="2" t="s">
        <v>64</v>
      </c>
      <c r="F172" s="3" t="s">
        <v>35</v>
      </c>
      <c r="G172" s="2"/>
      <c r="H172" s="2" t="s">
        <v>64</v>
      </c>
      <c r="I172" s="2" t="s">
        <v>36</v>
      </c>
      <c r="J172" s="2" t="s">
        <v>78</v>
      </c>
      <c r="K172" s="4" t="str">
        <f>HYPERLINK("http://books.google.com.mx/books?id=By9HAAAAYAAJ&amp;dq=Red+gauntlet+and+the+pirate+Scott,+Walter&amp;hl=&amp;as_pt=BOOKS&amp;source=gbs_api","Abrir enlace")</f>
        <v>Abrir enlace</v>
      </c>
      <c r="L172" s="2" t="s">
        <v>516</v>
      </c>
      <c r="M172" s="2"/>
      <c r="N172" s="2" t="s">
        <v>39</v>
      </c>
      <c r="O172" s="2"/>
      <c r="P172" s="4" t="str">
        <f>HYPERLINK("http://books.google.com.mx/books?id=By9HAAAAYAAJ&amp;dq=Red+gauntlet+and+the+pirate+Scott,+Walter&amp;hl=&amp;as_pt=BOOKS&amp;source=gbs_api","Abrir enlace")</f>
        <v>Abrir enlace</v>
      </c>
      <c r="Q172" s="2"/>
      <c r="R172" s="2"/>
      <c r="S172" s="2"/>
      <c r="T172" s="2"/>
      <c r="U172" s="2"/>
      <c r="V172" s="2"/>
      <c r="W172" s="2"/>
      <c r="X172" s="2"/>
      <c r="Y172" s="2"/>
      <c r="Z172" s="2"/>
      <c r="AA172" s="2" t="s">
        <v>66</v>
      </c>
      <c r="AB172" s="2" t="s">
        <v>80</v>
      </c>
      <c r="AC172" s="2"/>
      <c r="AD172" s="2"/>
      <c r="AE172" s="2"/>
    </row>
    <row r="173" ht="15.75" customHeight="1">
      <c r="A173" s="2">
        <v>173.0</v>
      </c>
      <c r="B173" s="2" t="s">
        <v>517</v>
      </c>
      <c r="C173" s="2" t="s">
        <v>77</v>
      </c>
      <c r="D173" s="2" t="s">
        <v>33</v>
      </c>
      <c r="E173" s="2" t="s">
        <v>64</v>
      </c>
      <c r="F173" s="3" t="s">
        <v>35</v>
      </c>
      <c r="G173" s="2"/>
      <c r="H173" s="2" t="s">
        <v>64</v>
      </c>
      <c r="I173" s="2" t="s">
        <v>36</v>
      </c>
      <c r="J173" s="2" t="s">
        <v>78</v>
      </c>
      <c r="K173" s="4" t="str">
        <f>HYPERLINK("http://books.google.com.mx/books?id=ryeZzAEACAAJ&amp;dq=Peveril+of+the+peak+and+the+betrothed&amp;hl=&amp;as_pt=BOOKS&amp;source=gbs_api","Abrir enlace")</f>
        <v>Abrir enlace</v>
      </c>
      <c r="L173" s="2" t="s">
        <v>518</v>
      </c>
      <c r="M173" s="2"/>
      <c r="N173" s="2" t="s">
        <v>39</v>
      </c>
      <c r="O173" s="2"/>
      <c r="P173" s="4" t="str">
        <f>HYPERLINK("http://books.google.com.mx/books?id=ryeZzAEACAAJ&amp;dq=Peveril+of+the+peak+and+the+betrothed&amp;hl=&amp;as_pt=BOOKS&amp;source=gbs_api","Abrir enlace")</f>
        <v>Abrir enlace</v>
      </c>
      <c r="Q173" s="2"/>
      <c r="R173" s="2"/>
      <c r="S173" s="2"/>
      <c r="T173" s="2"/>
      <c r="U173" s="2"/>
      <c r="V173" s="2"/>
      <c r="W173" s="2"/>
      <c r="X173" s="2"/>
      <c r="Y173" s="2"/>
      <c r="Z173" s="2"/>
      <c r="AA173" s="2" t="s">
        <v>66</v>
      </c>
      <c r="AB173" s="2" t="s">
        <v>80</v>
      </c>
      <c r="AC173" s="2"/>
      <c r="AD173" s="2"/>
      <c r="AE173" s="2"/>
    </row>
    <row r="174" ht="15.75" customHeight="1">
      <c r="A174" s="2">
        <v>174.0</v>
      </c>
      <c r="B174" s="2" t="s">
        <v>519</v>
      </c>
      <c r="C174" s="2" t="s">
        <v>77</v>
      </c>
      <c r="D174" s="2" t="s">
        <v>33</v>
      </c>
      <c r="E174" s="2" t="s">
        <v>64</v>
      </c>
      <c r="F174" s="3" t="s">
        <v>35</v>
      </c>
      <c r="G174" s="2"/>
      <c r="H174" s="2" t="s">
        <v>64</v>
      </c>
      <c r="I174" s="2" t="s">
        <v>36</v>
      </c>
      <c r="J174" s="2" t="s">
        <v>78</v>
      </c>
      <c r="K174" s="4" t="str">
        <f>HYPERLINK("http://books.google.com.mx/books?id=TdpB0QEACAAJ&amp;dq=Kenilworth+and+St.+Ronan%27s+Well&amp;hl=&amp;as_pt=BOOKS&amp;source=gbs_api","Abrir enlace")</f>
        <v>Abrir enlace</v>
      </c>
      <c r="L174" s="2" t="s">
        <v>520</v>
      </c>
      <c r="M174" s="2"/>
      <c r="N174" s="2" t="s">
        <v>39</v>
      </c>
      <c r="O174" s="2"/>
      <c r="P174" s="4" t="str">
        <f>HYPERLINK("http://books.google.com.mx/books?id=TdpB0QEACAAJ&amp;dq=Kenilworth+and+St.+Ronan%27s+Well&amp;hl=&amp;as_pt=BOOKS&amp;source=gbs_api","Abrir enlace")</f>
        <v>Abrir enlace</v>
      </c>
      <c r="Q174" s="2"/>
      <c r="R174" s="2"/>
      <c r="S174" s="2"/>
      <c r="T174" s="2"/>
      <c r="U174" s="2"/>
      <c r="V174" s="2"/>
      <c r="W174" s="2"/>
      <c r="X174" s="2"/>
      <c r="Y174" s="2"/>
      <c r="Z174" s="2"/>
      <c r="AA174" s="2" t="s">
        <v>66</v>
      </c>
      <c r="AB174" s="2" t="s">
        <v>80</v>
      </c>
      <c r="AC174" s="2"/>
      <c r="AD174" s="2"/>
      <c r="AE174" s="2"/>
    </row>
    <row r="175" ht="15.75" customHeight="1">
      <c r="A175" s="2">
        <v>175.0</v>
      </c>
      <c r="B175" s="2" t="s">
        <v>521</v>
      </c>
      <c r="C175" s="2" t="s">
        <v>522</v>
      </c>
      <c r="D175" s="2" t="s">
        <v>33</v>
      </c>
      <c r="E175" s="2" t="s">
        <v>64</v>
      </c>
      <c r="F175" s="3" t="s">
        <v>35</v>
      </c>
      <c r="G175" s="2"/>
      <c r="H175" s="2" t="s">
        <v>64</v>
      </c>
      <c r="I175" s="2" t="s">
        <v>36</v>
      </c>
      <c r="J175" s="2" t="s">
        <v>37</v>
      </c>
      <c r="K175" s="4" t="str">
        <f>HYPERLINK("http://books.google.com.mx/books?id=sos0paw_-cEC&amp;dq=Iliad+Homer&amp;hl=&amp;as_pt=BOOKS&amp;source=gbs_api","Abrir enlace")</f>
        <v>Abrir enlace</v>
      </c>
      <c r="L175" s="2" t="s">
        <v>523</v>
      </c>
      <c r="M175" s="2"/>
      <c r="N175" s="2" t="s">
        <v>39</v>
      </c>
      <c r="O175" s="2"/>
      <c r="P175" s="4" t="str">
        <f>HYPERLINK("http://books.google.com.mx/books?id=sos0paw_-cEC&amp;dq=Iliad+Homer&amp;hl=&amp;as_pt=BOOKS&amp;source=gbs_api","Abrir enlace")</f>
        <v>Abrir enlace</v>
      </c>
      <c r="Q175" s="2"/>
      <c r="R175" s="2"/>
      <c r="S175" s="2"/>
      <c r="T175" s="2"/>
      <c r="U175" s="2"/>
      <c r="V175" s="2"/>
      <c r="W175" s="2"/>
      <c r="X175" s="2"/>
      <c r="Y175" s="2"/>
      <c r="Z175" s="2"/>
      <c r="AA175" s="2" t="s">
        <v>66</v>
      </c>
      <c r="AB175" s="2" t="s">
        <v>67</v>
      </c>
      <c r="AC175" s="2"/>
      <c r="AD175" s="2"/>
      <c r="AE175" s="2"/>
    </row>
    <row r="176" ht="15.75" customHeight="1">
      <c r="A176" s="2">
        <v>176.0</v>
      </c>
      <c r="B176" s="2" t="s">
        <v>524</v>
      </c>
      <c r="C176" s="2"/>
      <c r="D176" s="2" t="s">
        <v>165</v>
      </c>
      <c r="E176" s="2" t="s">
        <v>64</v>
      </c>
      <c r="F176" s="3" t="s">
        <v>35</v>
      </c>
      <c r="G176" s="2"/>
      <c r="H176" s="2" t="s">
        <v>64</v>
      </c>
      <c r="I176" s="2" t="s">
        <v>36</v>
      </c>
      <c r="J176" s="2" t="s">
        <v>37</v>
      </c>
      <c r="K176" s="4" t="str">
        <f>HYPERLINK("https://openlibrary.org/works/OL16094076W","Abrir enlace")</f>
        <v>Abrir enlace</v>
      </c>
      <c r="L176" s="2" t="s">
        <v>524</v>
      </c>
      <c r="M176" s="2"/>
      <c r="N176" s="2" t="s">
        <v>45</v>
      </c>
      <c r="O176" s="2"/>
      <c r="P176" s="4" t="str">
        <f>HYPERLINK("https://openlibrary.org/works/OL16094076W","Abrir enlace")</f>
        <v>Abrir enlace</v>
      </c>
      <c r="Q176" s="2"/>
      <c r="R176" s="2"/>
      <c r="S176" s="2"/>
      <c r="T176" s="2"/>
      <c r="U176" s="2"/>
      <c r="V176" s="2"/>
      <c r="W176" s="2"/>
      <c r="X176" s="2"/>
      <c r="Y176" s="2"/>
      <c r="Z176" s="2"/>
      <c r="AA176" s="2" t="s">
        <v>66</v>
      </c>
      <c r="AB176" s="2" t="s">
        <v>67</v>
      </c>
      <c r="AC176" s="2"/>
      <c r="AD176" s="2"/>
      <c r="AE176" s="2"/>
    </row>
    <row r="177" ht="15.75" customHeight="1">
      <c r="A177" s="2">
        <v>177.0</v>
      </c>
      <c r="B177" s="2" t="s">
        <v>525</v>
      </c>
      <c r="C177" s="2"/>
      <c r="D177" s="2" t="s">
        <v>165</v>
      </c>
      <c r="E177" s="2" t="s">
        <v>64</v>
      </c>
      <c r="F177" s="3" t="s">
        <v>35</v>
      </c>
      <c r="G177" s="2"/>
      <c r="H177" s="2" t="s">
        <v>64</v>
      </c>
      <c r="I177" s="2" t="s">
        <v>36</v>
      </c>
      <c r="J177" s="2" t="s">
        <v>37</v>
      </c>
      <c r="K177" s="4" t="str">
        <f>HYPERLINK("https://archive.org/details/poeticalworksofw0000thom_d6p0","Abrir enlace")</f>
        <v>Abrir enlace</v>
      </c>
      <c r="L177" s="2" t="s">
        <v>526</v>
      </c>
      <c r="M177" s="2"/>
      <c r="N177" s="2" t="s">
        <v>54</v>
      </c>
      <c r="O177" s="2"/>
      <c r="P177" s="4" t="str">
        <f>HYPERLINK("https://archive.org/details/poeticalworksofw0000thom_d6p0","Abrir enlace")</f>
        <v>Abrir enlace</v>
      </c>
      <c r="Q177" s="2"/>
      <c r="R177" s="2"/>
      <c r="S177" s="2"/>
      <c r="T177" s="2"/>
      <c r="U177" s="2"/>
      <c r="V177" s="2"/>
      <c r="W177" s="2"/>
      <c r="X177" s="2"/>
      <c r="Y177" s="2"/>
      <c r="Z177" s="2"/>
      <c r="AA177" s="2" t="s">
        <v>66</v>
      </c>
      <c r="AB177" s="2" t="s">
        <v>67</v>
      </c>
      <c r="AC177" s="2"/>
      <c r="AD177" s="2"/>
      <c r="AE177" s="2"/>
    </row>
    <row r="178" ht="15.75" customHeight="1">
      <c r="A178" s="2">
        <v>178.0</v>
      </c>
      <c r="B178" s="2" t="s">
        <v>527</v>
      </c>
      <c r="C178" s="2" t="s">
        <v>528</v>
      </c>
      <c r="D178" s="2" t="s">
        <v>33</v>
      </c>
      <c r="E178" s="2" t="s">
        <v>64</v>
      </c>
      <c r="F178" s="3" t="s">
        <v>35</v>
      </c>
      <c r="G178" s="2"/>
      <c r="H178" s="2" t="s">
        <v>64</v>
      </c>
      <c r="I178" s="2" t="s">
        <v>36</v>
      </c>
      <c r="J178" s="2" t="s">
        <v>37</v>
      </c>
      <c r="K178" s="4" t="str">
        <f>HYPERLINK("https://archive.org/details/poemsplaysessays00golduoft","Abrir enlace")</f>
        <v>Abrir enlace</v>
      </c>
      <c r="L178" s="2" t="s">
        <v>529</v>
      </c>
      <c r="M178" s="2"/>
      <c r="N178" s="2" t="s">
        <v>54</v>
      </c>
      <c r="O178" s="2"/>
      <c r="P178" s="4" t="str">
        <f>HYPERLINK("https://archive.org/details/poemsplaysessays00golduoft","Abrir enlace")</f>
        <v>Abrir enlace</v>
      </c>
      <c r="Q178" s="2"/>
      <c r="R178" s="2"/>
      <c r="S178" s="2"/>
      <c r="T178" s="2"/>
      <c r="U178" s="2"/>
      <c r="V178" s="2"/>
      <c r="W178" s="2"/>
      <c r="X178" s="2"/>
      <c r="Y178" s="2"/>
      <c r="Z178" s="2"/>
      <c r="AA178" s="2" t="s">
        <v>66</v>
      </c>
      <c r="AB178" s="2" t="s">
        <v>67</v>
      </c>
      <c r="AC178" s="2"/>
      <c r="AD178" s="2"/>
      <c r="AE178" s="2"/>
    </row>
    <row r="179" ht="15.75" customHeight="1">
      <c r="A179" s="2">
        <v>179.0</v>
      </c>
      <c r="B179" s="2" t="s">
        <v>530</v>
      </c>
      <c r="C179" s="2" t="s">
        <v>178</v>
      </c>
      <c r="D179" s="2" t="s">
        <v>33</v>
      </c>
      <c r="E179" s="2" t="s">
        <v>64</v>
      </c>
      <c r="F179" s="3" t="s">
        <v>35</v>
      </c>
      <c r="G179" s="2"/>
      <c r="H179" s="2" t="s">
        <v>64</v>
      </c>
      <c r="I179" s="2" t="s">
        <v>36</v>
      </c>
      <c r="J179" s="2" t="s">
        <v>37</v>
      </c>
      <c r="K179" s="4" t="str">
        <f>HYPERLINK("https://openlibrary.org/works/OL32145504W","Abrir enlace")</f>
        <v>Abrir enlace</v>
      </c>
      <c r="L179" s="2" t="s">
        <v>531</v>
      </c>
      <c r="M179" s="2"/>
      <c r="N179" s="2" t="s">
        <v>45</v>
      </c>
      <c r="O179" s="2"/>
      <c r="P179" s="4" t="str">
        <f>HYPERLINK("https://openlibrary.org/works/OL32145504W","Abrir enlace")</f>
        <v>Abrir enlace</v>
      </c>
      <c r="Q179" s="2"/>
      <c r="R179" s="2"/>
      <c r="S179" s="2"/>
      <c r="T179" s="2"/>
      <c r="U179" s="2"/>
      <c r="V179" s="2"/>
      <c r="W179" s="2"/>
      <c r="X179" s="2"/>
      <c r="Y179" s="2"/>
      <c r="Z179" s="2"/>
      <c r="AA179" s="2" t="s">
        <v>66</v>
      </c>
      <c r="AB179" s="2" t="s">
        <v>67</v>
      </c>
      <c r="AC179" s="2"/>
      <c r="AD179" s="2"/>
      <c r="AE179" s="2"/>
    </row>
    <row r="180" ht="15.75" customHeight="1">
      <c r="A180" s="2">
        <v>180.0</v>
      </c>
      <c r="B180" s="2" t="s">
        <v>532</v>
      </c>
      <c r="C180" s="2" t="s">
        <v>533</v>
      </c>
      <c r="D180" s="2" t="s">
        <v>33</v>
      </c>
      <c r="E180" s="2" t="s">
        <v>64</v>
      </c>
      <c r="F180" s="3" t="s">
        <v>35</v>
      </c>
      <c r="G180" s="2"/>
      <c r="H180" s="2" t="s">
        <v>64</v>
      </c>
      <c r="I180" s="2" t="s">
        <v>36</v>
      </c>
      <c r="J180" s="2" t="s">
        <v>37</v>
      </c>
      <c r="K180" s="4" t="str">
        <f>HYPERLINK("https://openlibrary.org/works/OL33688445W","Abrir enlace")</f>
        <v>Abrir enlace</v>
      </c>
      <c r="L180" s="2" t="s">
        <v>534</v>
      </c>
      <c r="M180" s="2"/>
      <c r="N180" s="2" t="s">
        <v>45</v>
      </c>
      <c r="O180" s="2"/>
      <c r="P180" s="4" t="str">
        <f>HYPERLINK("https://openlibrary.org/works/OL33688445W","Abrir enlace")</f>
        <v>Abrir enlace</v>
      </c>
      <c r="Q180" s="2"/>
      <c r="R180" s="2"/>
      <c r="S180" s="2"/>
      <c r="T180" s="2"/>
      <c r="U180" s="2"/>
      <c r="V180" s="2"/>
      <c r="W180" s="2"/>
      <c r="X180" s="2"/>
      <c r="Y180" s="2"/>
      <c r="Z180" s="2"/>
      <c r="AA180" s="2" t="s">
        <v>66</v>
      </c>
      <c r="AB180" s="2" t="s">
        <v>67</v>
      </c>
      <c r="AC180" s="2"/>
      <c r="AD180" s="2"/>
      <c r="AE180" s="2"/>
    </row>
    <row r="181" ht="15.75" customHeight="1">
      <c r="A181" s="2">
        <v>181.0</v>
      </c>
      <c r="B181" s="2" t="s">
        <v>535</v>
      </c>
      <c r="C181" s="2" t="s">
        <v>536</v>
      </c>
      <c r="D181" s="2" t="s">
        <v>33</v>
      </c>
      <c r="E181" s="2" t="s">
        <v>64</v>
      </c>
      <c r="F181" s="3" t="s">
        <v>35</v>
      </c>
      <c r="G181" s="2"/>
      <c r="H181" s="2" t="s">
        <v>64</v>
      </c>
      <c r="I181" s="2" t="s">
        <v>36</v>
      </c>
      <c r="J181" s="2" t="s">
        <v>37</v>
      </c>
      <c r="K181" s="4" t="str">
        <f>HYPERLINK("https://archive.org/details/voicesofnightbal0003unse","Abrir enlace")</f>
        <v>Abrir enlace</v>
      </c>
      <c r="L181" s="2" t="s">
        <v>537</v>
      </c>
      <c r="M181" s="2"/>
      <c r="N181" s="2" t="s">
        <v>54</v>
      </c>
      <c r="O181" s="2"/>
      <c r="P181" s="4" t="str">
        <f>HYPERLINK("https://archive.org/details/voicesofnightbal0003unse","Abrir enlace")</f>
        <v>Abrir enlace</v>
      </c>
      <c r="Q181" s="2"/>
      <c r="R181" s="2"/>
      <c r="S181" s="2"/>
      <c r="T181" s="2"/>
      <c r="U181" s="2"/>
      <c r="V181" s="2"/>
      <c r="W181" s="2"/>
      <c r="X181" s="2"/>
      <c r="Y181" s="2"/>
      <c r="Z181" s="2"/>
      <c r="AA181" s="2" t="s">
        <v>66</v>
      </c>
      <c r="AB181" s="2" t="s">
        <v>67</v>
      </c>
      <c r="AC181" s="2"/>
      <c r="AD181" s="2"/>
      <c r="AE181" s="2"/>
    </row>
    <row r="182" ht="15.75" customHeight="1">
      <c r="A182" s="2">
        <v>182.0</v>
      </c>
      <c r="B182" s="2" t="s">
        <v>527</v>
      </c>
      <c r="C182" s="2" t="s">
        <v>528</v>
      </c>
      <c r="D182" s="2" t="s">
        <v>33</v>
      </c>
      <c r="E182" s="2" t="s">
        <v>64</v>
      </c>
      <c r="F182" s="3" t="s">
        <v>35</v>
      </c>
      <c r="G182" s="2"/>
      <c r="H182" s="2" t="s">
        <v>64</v>
      </c>
      <c r="I182" s="2" t="s">
        <v>36</v>
      </c>
      <c r="J182" s="2" t="s">
        <v>37</v>
      </c>
      <c r="K182" s="4" t="str">
        <f>HYPERLINK("http://books.google.com.mx/books?id=3CMm0AEACAAJ&amp;dq=Poems,+plays,+and+essays+Goldsmith,+Oliver&amp;hl=&amp;as_pt=BOOKS&amp;source=gbs_api","Abrir enlace")</f>
        <v>Abrir enlace</v>
      </c>
      <c r="L182" s="2" t="s">
        <v>538</v>
      </c>
      <c r="M182" s="2"/>
      <c r="N182" s="2" t="s">
        <v>39</v>
      </c>
      <c r="O182" s="2"/>
      <c r="P182" s="4" t="str">
        <f>HYPERLINK("http://books.google.com.mx/books?id=3CMm0AEACAAJ&amp;dq=Poems,+plays,+and+essays+Goldsmith,+Oliver&amp;hl=&amp;as_pt=BOOKS&amp;source=gbs_api","Abrir enlace")</f>
        <v>Abrir enlace</v>
      </c>
      <c r="Q182" s="2"/>
      <c r="R182" s="2"/>
      <c r="S182" s="2"/>
      <c r="T182" s="2"/>
      <c r="U182" s="2"/>
      <c r="V182" s="2"/>
      <c r="W182" s="2"/>
      <c r="X182" s="2"/>
      <c r="Y182" s="2"/>
      <c r="Z182" s="2"/>
      <c r="AA182" s="2" t="s">
        <v>66</v>
      </c>
      <c r="AB182" s="2" t="s">
        <v>67</v>
      </c>
      <c r="AC182" s="2"/>
      <c r="AD182" s="2"/>
      <c r="AE182" s="2"/>
    </row>
    <row r="183" ht="15.75" customHeight="1">
      <c r="A183" s="2">
        <v>183.0</v>
      </c>
      <c r="B183" s="2" t="s">
        <v>62</v>
      </c>
      <c r="C183" s="2" t="s">
        <v>539</v>
      </c>
      <c r="D183" s="2" t="s">
        <v>33</v>
      </c>
      <c r="E183" s="2" t="s">
        <v>64</v>
      </c>
      <c r="F183" s="3" t="s">
        <v>35</v>
      </c>
      <c r="G183" s="2"/>
      <c r="H183" s="2" t="s">
        <v>64</v>
      </c>
      <c r="I183" s="2" t="s">
        <v>36</v>
      </c>
      <c r="J183" s="2" t="s">
        <v>37</v>
      </c>
      <c r="K183" s="4" t="str">
        <f>HYPERLINK("https://openlibrary.org/works/OL34595416W","Abrir enlace")</f>
        <v>Abrir enlace</v>
      </c>
      <c r="L183" s="2" t="s">
        <v>540</v>
      </c>
      <c r="M183" s="2"/>
      <c r="N183" s="2" t="s">
        <v>45</v>
      </c>
      <c r="O183" s="2"/>
      <c r="P183" s="4" t="str">
        <f>HYPERLINK("https://openlibrary.org/works/OL34595416W","Abrir enlace")</f>
        <v>Abrir enlace</v>
      </c>
      <c r="Q183" s="2"/>
      <c r="R183" s="2"/>
      <c r="S183" s="2"/>
      <c r="T183" s="2"/>
      <c r="U183" s="2"/>
      <c r="V183" s="2"/>
      <c r="W183" s="2"/>
      <c r="X183" s="2"/>
      <c r="Y183" s="2"/>
      <c r="Z183" s="2"/>
      <c r="AA183" s="2" t="s">
        <v>66</v>
      </c>
      <c r="AB183" s="2" t="s">
        <v>67</v>
      </c>
      <c r="AC183" s="2"/>
      <c r="AD183" s="2"/>
      <c r="AE183" s="2"/>
    </row>
    <row r="184" ht="15.75" customHeight="1">
      <c r="A184" s="2">
        <v>184.0</v>
      </c>
      <c r="B184" s="2" t="s">
        <v>541</v>
      </c>
      <c r="C184" s="2" t="s">
        <v>178</v>
      </c>
      <c r="D184" s="2" t="s">
        <v>33</v>
      </c>
      <c r="E184" s="2" t="s">
        <v>64</v>
      </c>
      <c r="F184" s="3" t="s">
        <v>35</v>
      </c>
      <c r="G184" s="2"/>
      <c r="H184" s="2" t="s">
        <v>64</v>
      </c>
      <c r="I184" s="2" t="s">
        <v>36</v>
      </c>
      <c r="J184" s="2" t="s">
        <v>37</v>
      </c>
      <c r="K184" s="4" t="str">
        <f>HYPERLINK("https://archive.org/details/ellenmiddleton0000full","Abrir enlace")</f>
        <v>Abrir enlace</v>
      </c>
      <c r="L184" s="2" t="s">
        <v>541</v>
      </c>
      <c r="M184" s="2"/>
      <c r="N184" s="2" t="s">
        <v>54</v>
      </c>
      <c r="O184" s="2"/>
      <c r="P184" s="4" t="str">
        <f>HYPERLINK("https://archive.org/details/ellenmiddleton0000full","Abrir enlace")</f>
        <v>Abrir enlace</v>
      </c>
      <c r="Q184" s="2"/>
      <c r="R184" s="2"/>
      <c r="S184" s="2"/>
      <c r="T184" s="2"/>
      <c r="U184" s="2"/>
      <c r="V184" s="2"/>
      <c r="W184" s="2"/>
      <c r="X184" s="2"/>
      <c r="Y184" s="2"/>
      <c r="Z184" s="2"/>
      <c r="AA184" s="2" t="s">
        <v>66</v>
      </c>
      <c r="AB184" s="2" t="s">
        <v>67</v>
      </c>
      <c r="AC184" s="2"/>
      <c r="AD184" s="2"/>
      <c r="AE184" s="2"/>
    </row>
    <row r="185" ht="15.75" customHeight="1">
      <c r="A185" s="2">
        <v>185.0</v>
      </c>
      <c r="B185" s="2" t="s">
        <v>542</v>
      </c>
      <c r="C185" s="2" t="s">
        <v>543</v>
      </c>
      <c r="D185" s="2" t="s">
        <v>33</v>
      </c>
      <c r="E185" s="2" t="s">
        <v>64</v>
      </c>
      <c r="F185" s="3" t="s">
        <v>35</v>
      </c>
      <c r="G185" s="2"/>
      <c r="H185" s="2" t="s">
        <v>64</v>
      </c>
      <c r="I185" s="2" t="s">
        <v>36</v>
      </c>
      <c r="J185" s="2" t="s">
        <v>37</v>
      </c>
      <c r="K185" s="4" t="str">
        <f>HYPERLINK("https://archive.org/details/versesonoccasion00newmuoft","Abrir enlace")</f>
        <v>Abrir enlace</v>
      </c>
      <c r="L185" s="2" t="s">
        <v>544</v>
      </c>
      <c r="M185" s="2"/>
      <c r="N185" s="2" t="s">
        <v>54</v>
      </c>
      <c r="O185" s="2"/>
      <c r="P185" s="4" t="str">
        <f>HYPERLINK("https://archive.org/details/versesonoccasion00newmuoft","Abrir enlace")</f>
        <v>Abrir enlace</v>
      </c>
      <c r="Q185" s="2"/>
      <c r="R185" s="2"/>
      <c r="S185" s="2"/>
      <c r="T185" s="2"/>
      <c r="U185" s="2"/>
      <c r="V185" s="2"/>
      <c r="W185" s="2"/>
      <c r="X185" s="2"/>
      <c r="Y185" s="2"/>
      <c r="Z185" s="2"/>
      <c r="AA185" s="2" t="s">
        <v>66</v>
      </c>
      <c r="AB185" s="2" t="s">
        <v>67</v>
      </c>
      <c r="AC185" s="2"/>
      <c r="AD185" s="2"/>
      <c r="AE185" s="2"/>
    </row>
    <row r="186" ht="15.75" customHeight="1">
      <c r="A186" s="2">
        <v>186.0</v>
      </c>
      <c r="B186" s="2" t="s">
        <v>545</v>
      </c>
      <c r="C186" s="2" t="s">
        <v>546</v>
      </c>
      <c r="D186" s="2" t="s">
        <v>33</v>
      </c>
      <c r="E186" s="2" t="s">
        <v>64</v>
      </c>
      <c r="F186" s="3" t="s">
        <v>35</v>
      </c>
      <c r="G186" s="2"/>
      <c r="H186" s="2" t="s">
        <v>64</v>
      </c>
      <c r="I186" s="2" t="s">
        <v>36</v>
      </c>
      <c r="J186" s="2" t="s">
        <v>547</v>
      </c>
      <c r="K186" s="4" t="str">
        <f>HYPERLINK("http://books.google.com.mx/books?id=WfySzAEACAAJ&amp;dq=Songs+for+the+gousehold&amp;hl=&amp;as_pt=BOOKS&amp;source=gbs_api","Abrir enlace")</f>
        <v>Abrir enlace</v>
      </c>
      <c r="L186" s="2" t="s">
        <v>548</v>
      </c>
      <c r="M186" s="2"/>
      <c r="N186" s="2" t="s">
        <v>39</v>
      </c>
      <c r="O186" s="2"/>
      <c r="P186" s="4" t="str">
        <f>HYPERLINK("http://books.google.com.mx/books?id=WfySzAEACAAJ&amp;dq=Songs+for+the+gousehold&amp;hl=&amp;as_pt=BOOKS&amp;source=gbs_api","Abrir enlace")</f>
        <v>Abrir enlace</v>
      </c>
      <c r="Q186" s="2"/>
      <c r="R186" s="2"/>
      <c r="S186" s="2"/>
      <c r="T186" s="2"/>
      <c r="U186" s="2"/>
      <c r="V186" s="2"/>
      <c r="W186" s="2"/>
      <c r="X186" s="2"/>
      <c r="Y186" s="2"/>
      <c r="Z186" s="2"/>
      <c r="AA186" s="2" t="s">
        <v>66</v>
      </c>
      <c r="AB186" s="2" t="s">
        <v>395</v>
      </c>
      <c r="AC186" s="2"/>
      <c r="AD186" s="2"/>
      <c r="AE186" s="2"/>
    </row>
    <row r="187" ht="15.75" customHeight="1">
      <c r="A187" s="2">
        <v>187.0</v>
      </c>
      <c r="B187" s="2" t="s">
        <v>549</v>
      </c>
      <c r="C187" s="2"/>
      <c r="D187" s="3" t="s">
        <v>99</v>
      </c>
      <c r="E187" s="2" t="s">
        <v>188</v>
      </c>
      <c r="F187" s="3" t="s">
        <v>35</v>
      </c>
      <c r="G187" s="2"/>
      <c r="H187" s="2" t="s">
        <v>188</v>
      </c>
      <c r="I187" s="2" t="s">
        <v>36</v>
      </c>
      <c r="J187" s="2" t="s">
        <v>37</v>
      </c>
      <c r="K187" s="4" t="str">
        <f t="shared" ref="K187:K188" si="21">HYPERLINK("https://openlibrary.org/works/OL44716191W","Abrir enlace")</f>
        <v>Abrir enlace</v>
      </c>
      <c r="L187" s="2" t="s">
        <v>550</v>
      </c>
      <c r="M187" s="2"/>
      <c r="N187" s="2" t="s">
        <v>45</v>
      </c>
      <c r="O187" s="2"/>
      <c r="P187" s="4" t="str">
        <f t="shared" ref="P187:P188" si="22">HYPERLINK("https://openlibrary.org/works/OL44716191W","Abrir enlace")</f>
        <v>Abrir enlace</v>
      </c>
      <c r="Q187" s="2"/>
      <c r="R187" s="2"/>
      <c r="S187" s="2"/>
      <c r="T187" s="2"/>
      <c r="U187" s="2"/>
      <c r="V187" s="2"/>
      <c r="W187" s="2"/>
      <c r="X187" s="2"/>
      <c r="Y187" s="2"/>
      <c r="Z187" s="2"/>
      <c r="AA187" s="2" t="s">
        <v>51</v>
      </c>
      <c r="AB187" s="2" t="s">
        <v>551</v>
      </c>
      <c r="AC187" s="2"/>
      <c r="AD187" s="2"/>
      <c r="AE187" s="2"/>
    </row>
    <row r="188" ht="15.75" customHeight="1">
      <c r="A188" s="2">
        <v>188.0</v>
      </c>
      <c r="B188" s="2" t="s">
        <v>549</v>
      </c>
      <c r="C188" s="2"/>
      <c r="D188" s="3" t="s">
        <v>99</v>
      </c>
      <c r="E188" s="2" t="s">
        <v>188</v>
      </c>
      <c r="F188" s="3" t="s">
        <v>35</v>
      </c>
      <c r="G188" s="2"/>
      <c r="H188" s="2" t="s">
        <v>188</v>
      </c>
      <c r="I188" s="2" t="s">
        <v>36</v>
      </c>
      <c r="J188" s="2" t="s">
        <v>37</v>
      </c>
      <c r="K188" s="4" t="str">
        <f t="shared" si="21"/>
        <v>Abrir enlace</v>
      </c>
      <c r="L188" s="2" t="s">
        <v>550</v>
      </c>
      <c r="M188" s="2"/>
      <c r="N188" s="2" t="s">
        <v>45</v>
      </c>
      <c r="O188" s="2"/>
      <c r="P188" s="4" t="str">
        <f t="shared" si="22"/>
        <v>Abrir enlace</v>
      </c>
      <c r="Q188" s="2"/>
      <c r="R188" s="2"/>
      <c r="S188" s="2"/>
      <c r="T188" s="2"/>
      <c r="U188" s="2"/>
      <c r="V188" s="2"/>
      <c r="W188" s="2"/>
      <c r="X188" s="2"/>
      <c r="Y188" s="2"/>
      <c r="Z188" s="2"/>
      <c r="AA188" s="2" t="s">
        <v>51</v>
      </c>
      <c r="AB188" s="2" t="s">
        <v>551</v>
      </c>
      <c r="AC188" s="2"/>
      <c r="AD188" s="2"/>
      <c r="AE188" s="2"/>
    </row>
    <row r="189" ht="15.75" customHeight="1">
      <c r="A189" s="2">
        <v>189.0</v>
      </c>
      <c r="B189" s="2" t="s">
        <v>552</v>
      </c>
      <c r="C189" s="2" t="s">
        <v>553</v>
      </c>
      <c r="D189" s="2" t="s">
        <v>33</v>
      </c>
      <c r="E189" s="2" t="s">
        <v>70</v>
      </c>
      <c r="F189" s="3" t="s">
        <v>35</v>
      </c>
      <c r="G189" s="2"/>
      <c r="H189" s="2" t="s">
        <v>70</v>
      </c>
      <c r="I189" s="2" t="s">
        <v>36</v>
      </c>
      <c r="J189" s="2" t="s">
        <v>37</v>
      </c>
      <c r="K189" s="4" t="str">
        <f>HYPERLINK("http://books.google.com.mx/books?id=tHEjnQEACAAJ&amp;dq=Le+pr%C3%A9parateuur+-+photographe+:+Trait%C3%A9+de+chimie&amp;hl=&amp;as_pt=BOOKS&amp;source=gbs_api","Abrir enlace")</f>
        <v>Abrir enlace</v>
      </c>
      <c r="L189" s="2" t="s">
        <v>554</v>
      </c>
      <c r="M189" s="2"/>
      <c r="N189" s="2" t="s">
        <v>39</v>
      </c>
      <c r="O189" s="2"/>
      <c r="P189" s="4" t="str">
        <f>HYPERLINK("http://books.google.com.mx/books?id=tHEjnQEACAAJ&amp;dq=Le+pr%C3%A9parateuur+-+photographe+:+Trait%C3%A9+de+chimie&amp;hl=&amp;as_pt=BOOKS&amp;source=gbs_api","Abrir enlace")</f>
        <v>Abrir enlace</v>
      </c>
      <c r="Q189" s="2"/>
      <c r="R189" s="2"/>
      <c r="S189" s="2"/>
      <c r="T189" s="2"/>
      <c r="U189" s="2"/>
      <c r="V189" s="2"/>
      <c r="W189" s="2"/>
      <c r="X189" s="2"/>
      <c r="Y189" s="2"/>
      <c r="Z189" s="2"/>
      <c r="AA189" s="2" t="s">
        <v>40</v>
      </c>
      <c r="AB189" s="2" t="s">
        <v>72</v>
      </c>
      <c r="AC189" s="2"/>
      <c r="AD189" s="2"/>
      <c r="AE189" s="2"/>
    </row>
    <row r="190" ht="15.75" customHeight="1">
      <c r="A190" s="2">
        <v>190.0</v>
      </c>
      <c r="B190" s="2" t="s">
        <v>555</v>
      </c>
      <c r="C190" s="2"/>
      <c r="D190" s="2" t="s">
        <v>33</v>
      </c>
      <c r="E190" s="2" t="s">
        <v>64</v>
      </c>
      <c r="F190" s="3" t="s">
        <v>35</v>
      </c>
      <c r="G190" s="2"/>
      <c r="H190" s="2" t="s">
        <v>64</v>
      </c>
      <c r="I190" s="2" t="s">
        <v>36</v>
      </c>
      <c r="J190" s="2" t="s">
        <v>556</v>
      </c>
      <c r="K190" s="4" t="str">
        <f>HYPERLINK("https://archive.org/details/philippicoratio00demogoog","Abrir enlace")</f>
        <v>Abrir enlace</v>
      </c>
      <c r="L190" s="2" t="s">
        <v>557</v>
      </c>
      <c r="M190" s="2"/>
      <c r="N190" s="2" t="s">
        <v>54</v>
      </c>
      <c r="O190" s="2"/>
      <c r="P190" s="4" t="str">
        <f>HYPERLINK("https://archive.org/details/philippicoratio00demogoog","Abrir enlace")</f>
        <v>Abrir enlace</v>
      </c>
      <c r="Q190" s="2"/>
      <c r="R190" s="2"/>
      <c r="S190" s="2"/>
      <c r="T190" s="2"/>
      <c r="U190" s="2"/>
      <c r="V190" s="2"/>
      <c r="W190" s="2"/>
      <c r="X190" s="2"/>
      <c r="Y190" s="2"/>
      <c r="Z190" s="2"/>
      <c r="AA190" s="2" t="s">
        <v>66</v>
      </c>
      <c r="AB190" s="2" t="s">
        <v>558</v>
      </c>
      <c r="AC190" s="2"/>
      <c r="AD190" s="2"/>
      <c r="AE190" s="2"/>
    </row>
    <row r="191" ht="15.75" customHeight="1">
      <c r="A191" s="2">
        <v>191.0</v>
      </c>
      <c r="B191" s="2" t="s">
        <v>559</v>
      </c>
      <c r="C191" s="2" t="s">
        <v>560</v>
      </c>
      <c r="D191" s="2" t="s">
        <v>33</v>
      </c>
      <c r="E191" s="2" t="s">
        <v>70</v>
      </c>
      <c r="F191" s="3" t="s">
        <v>35</v>
      </c>
      <c r="G191" s="2"/>
      <c r="H191" s="2" t="s">
        <v>70</v>
      </c>
      <c r="I191" s="2" t="s">
        <v>168</v>
      </c>
      <c r="J191" s="2" t="s">
        <v>561</v>
      </c>
      <c r="K191" s="4" t="str">
        <f>HYPERLINK("https://archive.org/details/fre_b1886970","Abrir enlace")</f>
        <v>Abrir enlace</v>
      </c>
      <c r="L191" s="2" t="s">
        <v>562</v>
      </c>
      <c r="M191" s="2"/>
      <c r="N191" s="2" t="s">
        <v>54</v>
      </c>
      <c r="O191" s="2"/>
      <c r="P191" s="4" t="str">
        <f>HYPERLINK("https://archive.org/details/fre_b1886970","Abrir enlace")</f>
        <v>Abrir enlace</v>
      </c>
      <c r="Q191" s="2"/>
      <c r="R191" s="2"/>
      <c r="S191" s="2"/>
      <c r="T191" s="2"/>
      <c r="U191" s="2"/>
      <c r="V191" s="2"/>
      <c r="W191" s="2"/>
      <c r="X191" s="2"/>
      <c r="Y191" s="2"/>
      <c r="Z191" s="2"/>
      <c r="AA191" s="2" t="s">
        <v>40</v>
      </c>
      <c r="AB191" s="2" t="s">
        <v>563</v>
      </c>
      <c r="AC191" s="2"/>
      <c r="AD191" s="2"/>
      <c r="AE191" s="2"/>
    </row>
    <row r="192" ht="15.75" customHeight="1">
      <c r="A192" s="2">
        <v>192.0</v>
      </c>
      <c r="B192" s="2" t="s">
        <v>564</v>
      </c>
      <c r="C192" s="2" t="s">
        <v>565</v>
      </c>
      <c r="D192" s="2" t="s">
        <v>49</v>
      </c>
      <c r="E192" s="2" t="s">
        <v>34</v>
      </c>
      <c r="F192" s="3" t="s">
        <v>35</v>
      </c>
      <c r="G192" s="2"/>
      <c r="H192" s="2" t="s">
        <v>34</v>
      </c>
      <c r="I192" s="2" t="s">
        <v>36</v>
      </c>
      <c r="J192" s="2" t="s">
        <v>566</v>
      </c>
      <c r="K192" s="4" t="str">
        <f>HYPERLINK("https://openlibrary.org/works/OL33145736W","Abrir enlace")</f>
        <v>Abrir enlace</v>
      </c>
      <c r="L192" s="2" t="s">
        <v>567</v>
      </c>
      <c r="M192" s="2"/>
      <c r="N192" s="2" t="s">
        <v>45</v>
      </c>
      <c r="O192" s="2"/>
      <c r="P192" s="4" t="str">
        <f>HYPERLINK("https://openlibrary.org/works/OL33145736W","Abrir enlace")</f>
        <v>Abrir enlace</v>
      </c>
      <c r="Q192" s="2"/>
      <c r="R192" s="2"/>
      <c r="S192" s="2"/>
      <c r="T192" s="2"/>
      <c r="U192" s="2"/>
      <c r="V192" s="2"/>
      <c r="W192" s="2"/>
      <c r="X192" s="2"/>
      <c r="Y192" s="2"/>
      <c r="Z192" s="2"/>
      <c r="AA192" s="2" t="s">
        <v>46</v>
      </c>
      <c r="AB192" s="2" t="s">
        <v>55</v>
      </c>
      <c r="AC192" s="2"/>
      <c r="AD192" s="2"/>
      <c r="AE192" s="2"/>
    </row>
    <row r="193" ht="15.75" customHeight="1">
      <c r="A193" s="2">
        <v>193.0</v>
      </c>
      <c r="B193" s="2" t="s">
        <v>62</v>
      </c>
      <c r="C193" s="2" t="s">
        <v>568</v>
      </c>
      <c r="D193" s="2" t="s">
        <v>33</v>
      </c>
      <c r="E193" s="2" t="s">
        <v>64</v>
      </c>
      <c r="F193" s="3" t="s">
        <v>35</v>
      </c>
      <c r="G193" s="2"/>
      <c r="H193" s="2" t="s">
        <v>64</v>
      </c>
      <c r="I193" s="2" t="s">
        <v>36</v>
      </c>
      <c r="J193" s="2" t="s">
        <v>37</v>
      </c>
      <c r="K193" s="4" t="str">
        <f>HYPERLINK("https://openlibrary.org/works/OL24462354W","Abrir enlace")</f>
        <v>Abrir enlace</v>
      </c>
      <c r="L193" s="2" t="s">
        <v>569</v>
      </c>
      <c r="M193" s="2"/>
      <c r="N193" s="2" t="s">
        <v>45</v>
      </c>
      <c r="O193" s="2"/>
      <c r="P193" s="4" t="str">
        <f>HYPERLINK("https://openlibrary.org/works/OL24462354W","Abrir enlace")</f>
        <v>Abrir enlace</v>
      </c>
      <c r="Q193" s="2"/>
      <c r="R193" s="2"/>
      <c r="S193" s="2"/>
      <c r="T193" s="2"/>
      <c r="U193" s="2"/>
      <c r="V193" s="2"/>
      <c r="W193" s="2"/>
      <c r="X193" s="2"/>
      <c r="Y193" s="2"/>
      <c r="Z193" s="2"/>
      <c r="AA193" s="2" t="s">
        <v>66</v>
      </c>
      <c r="AB193" s="2" t="s">
        <v>67</v>
      </c>
      <c r="AC193" s="2"/>
      <c r="AD193" s="2"/>
      <c r="AE193" s="2"/>
    </row>
    <row r="194" ht="15.75" customHeight="1">
      <c r="A194" s="2">
        <v>194.0</v>
      </c>
      <c r="B194" s="2" t="s">
        <v>62</v>
      </c>
      <c r="C194" s="2" t="s">
        <v>570</v>
      </c>
      <c r="D194" s="2" t="s">
        <v>33</v>
      </c>
      <c r="E194" s="2" t="s">
        <v>64</v>
      </c>
      <c r="F194" s="3" t="s">
        <v>35</v>
      </c>
      <c r="G194" s="2"/>
      <c r="H194" s="2" t="s">
        <v>64</v>
      </c>
      <c r="I194" s="2" t="s">
        <v>36</v>
      </c>
      <c r="J194" s="2" t="s">
        <v>37</v>
      </c>
      <c r="K194" s="4" t="str">
        <f>HYPERLINK("https://openlibrary.org/works/OL32146409W","Abrir enlace")</f>
        <v>Abrir enlace</v>
      </c>
      <c r="L194" s="2" t="s">
        <v>62</v>
      </c>
      <c r="M194" s="2"/>
      <c r="N194" s="2" t="s">
        <v>45</v>
      </c>
      <c r="O194" s="2"/>
      <c r="P194" s="4" t="str">
        <f>HYPERLINK("https://openlibrary.org/works/OL32146409W","Abrir enlace")</f>
        <v>Abrir enlace</v>
      </c>
      <c r="Q194" s="2"/>
      <c r="R194" s="2"/>
      <c r="S194" s="2"/>
      <c r="T194" s="2"/>
      <c r="U194" s="2"/>
      <c r="V194" s="2"/>
      <c r="W194" s="2"/>
      <c r="X194" s="2"/>
      <c r="Y194" s="2"/>
      <c r="Z194" s="2"/>
      <c r="AA194" s="2" t="s">
        <v>66</v>
      </c>
      <c r="AB194" s="2" t="s">
        <v>67</v>
      </c>
      <c r="AC194" s="2"/>
      <c r="AD194" s="2"/>
      <c r="AE194" s="2"/>
    </row>
    <row r="195" ht="15.75" customHeight="1">
      <c r="A195" s="2">
        <v>195.0</v>
      </c>
      <c r="B195" s="2" t="s">
        <v>571</v>
      </c>
      <c r="C195" s="2" t="s">
        <v>572</v>
      </c>
      <c r="D195" s="2" t="s">
        <v>33</v>
      </c>
      <c r="E195" s="2" t="s">
        <v>64</v>
      </c>
      <c r="F195" s="3" t="s">
        <v>35</v>
      </c>
      <c r="G195" s="2"/>
      <c r="H195" s="2" t="s">
        <v>64</v>
      </c>
      <c r="I195" s="2" t="s">
        <v>36</v>
      </c>
      <c r="J195" s="2" t="s">
        <v>573</v>
      </c>
      <c r="K195" s="4" t="str">
        <f>HYPERLINK("https://archive.org/details/personalhistoryo0000char_t3k5","Abrir enlace")</f>
        <v>Abrir enlace</v>
      </c>
      <c r="L195" s="2" t="s">
        <v>571</v>
      </c>
      <c r="M195" s="2"/>
      <c r="N195" s="2" t="s">
        <v>54</v>
      </c>
      <c r="O195" s="2"/>
      <c r="P195" s="4" t="str">
        <f>HYPERLINK("https://archive.org/details/personalhistoryo0000char_t3k5","Abrir enlace")</f>
        <v>Abrir enlace</v>
      </c>
      <c r="Q195" s="2"/>
      <c r="R195" s="2"/>
      <c r="S195" s="2"/>
      <c r="T195" s="2"/>
      <c r="U195" s="2"/>
      <c r="V195" s="2"/>
      <c r="W195" s="2"/>
      <c r="X195" s="2"/>
      <c r="Y195" s="2"/>
      <c r="Z195" s="2"/>
      <c r="AA195" s="2" t="s">
        <v>66</v>
      </c>
      <c r="AB195" s="2" t="s">
        <v>150</v>
      </c>
      <c r="AC195" s="2"/>
      <c r="AD195" s="2"/>
      <c r="AE195" s="2"/>
    </row>
    <row r="196" ht="15.75" customHeight="1">
      <c r="A196" s="2">
        <v>196.0</v>
      </c>
      <c r="B196" s="2" t="s">
        <v>574</v>
      </c>
      <c r="C196" s="2" t="s">
        <v>572</v>
      </c>
      <c r="D196" s="2" t="s">
        <v>33</v>
      </c>
      <c r="E196" s="2" t="s">
        <v>64</v>
      </c>
      <c r="F196" s="3" t="s">
        <v>35</v>
      </c>
      <c r="G196" s="2"/>
      <c r="H196" s="2" t="s">
        <v>64</v>
      </c>
      <c r="I196" s="2" t="s">
        <v>36</v>
      </c>
      <c r="J196" s="2" t="s">
        <v>37</v>
      </c>
      <c r="K196" s="4" t="str">
        <f>HYPERLINK("https://archive.org/details/ourmutualfriend11dickgoog","Abrir enlace")</f>
        <v>Abrir enlace</v>
      </c>
      <c r="L196" s="2" t="s">
        <v>574</v>
      </c>
      <c r="M196" s="2"/>
      <c r="N196" s="2" t="s">
        <v>54</v>
      </c>
      <c r="O196" s="2"/>
      <c r="P196" s="4" t="str">
        <f>HYPERLINK("https://archive.org/details/ourmutualfriend11dickgoog","Abrir enlace")</f>
        <v>Abrir enlace</v>
      </c>
      <c r="Q196" s="2"/>
      <c r="R196" s="2"/>
      <c r="S196" s="2"/>
      <c r="T196" s="2"/>
      <c r="U196" s="2"/>
      <c r="V196" s="2"/>
      <c r="W196" s="2"/>
      <c r="X196" s="2"/>
      <c r="Y196" s="2"/>
      <c r="Z196" s="2"/>
      <c r="AA196" s="2" t="s">
        <v>66</v>
      </c>
      <c r="AB196" s="2" t="s">
        <v>67</v>
      </c>
      <c r="AC196" s="2"/>
      <c r="AD196" s="2"/>
      <c r="AE196" s="2"/>
    </row>
    <row r="197" ht="15.75" customHeight="1">
      <c r="A197" s="2">
        <v>197.0</v>
      </c>
      <c r="B197" s="2" t="s">
        <v>575</v>
      </c>
      <c r="C197" s="2" t="s">
        <v>572</v>
      </c>
      <c r="D197" s="2" t="s">
        <v>33</v>
      </c>
      <c r="E197" s="2" t="s">
        <v>64</v>
      </c>
      <c r="F197" s="3" t="s">
        <v>35</v>
      </c>
      <c r="G197" s="2"/>
      <c r="H197" s="2" t="s">
        <v>64</v>
      </c>
      <c r="I197" s="2" t="s">
        <v>36</v>
      </c>
      <c r="J197" s="2" t="s">
        <v>37</v>
      </c>
      <c r="K197" s="4" t="str">
        <f>HYPERLINK("https://openlibrary.org/works/OL43030406W","Abrir enlace")</f>
        <v>Abrir enlace</v>
      </c>
      <c r="L197" s="2" t="s">
        <v>576</v>
      </c>
      <c r="M197" s="2"/>
      <c r="N197" s="2" t="s">
        <v>45</v>
      </c>
      <c r="O197" s="2"/>
      <c r="P197" s="4" t="str">
        <f>HYPERLINK("https://openlibrary.org/works/OL43030406W","Abrir enlace")</f>
        <v>Abrir enlace</v>
      </c>
      <c r="Q197" s="2"/>
      <c r="R197" s="2"/>
      <c r="S197" s="2"/>
      <c r="T197" s="2"/>
      <c r="U197" s="2"/>
      <c r="V197" s="2"/>
      <c r="W197" s="2"/>
      <c r="X197" s="2"/>
      <c r="Y197" s="2"/>
      <c r="Z197" s="2"/>
      <c r="AA197" s="2" t="s">
        <v>66</v>
      </c>
      <c r="AB197" s="2" t="s">
        <v>67</v>
      </c>
      <c r="AC197" s="2"/>
      <c r="AD197" s="2"/>
      <c r="AE197" s="2"/>
    </row>
    <row r="198" ht="15.75" customHeight="1">
      <c r="A198" s="2">
        <v>198.0</v>
      </c>
      <c r="B198" s="2" t="s">
        <v>577</v>
      </c>
      <c r="C198" s="2" t="s">
        <v>578</v>
      </c>
      <c r="D198" s="2" t="s">
        <v>33</v>
      </c>
      <c r="E198" s="2" t="s">
        <v>70</v>
      </c>
      <c r="F198" s="3" t="s">
        <v>35</v>
      </c>
      <c r="G198" s="2"/>
      <c r="H198" s="2" t="s">
        <v>70</v>
      </c>
      <c r="I198" s="2" t="s">
        <v>168</v>
      </c>
      <c r="J198" s="2" t="s">
        <v>579</v>
      </c>
      <c r="K198" s="4" t="str">
        <f>HYPERLINK("https://archive.org/details/leprtrelafemmee00michgoog","Abrir enlace")</f>
        <v>Abrir enlace</v>
      </c>
      <c r="L198" s="2" t="s">
        <v>580</v>
      </c>
      <c r="M198" s="2"/>
      <c r="N198" s="2" t="s">
        <v>54</v>
      </c>
      <c r="O198" s="2"/>
      <c r="P198" s="4" t="str">
        <f>HYPERLINK("https://archive.org/details/leprtrelafemmee00michgoog","Abrir enlace")</f>
        <v>Abrir enlace</v>
      </c>
      <c r="Q198" s="2"/>
      <c r="R198" s="2"/>
      <c r="S198" s="2"/>
      <c r="T198" s="2"/>
      <c r="U198" s="2"/>
      <c r="V198" s="2"/>
      <c r="W198" s="2"/>
      <c r="X198" s="2"/>
      <c r="Y198" s="2"/>
      <c r="Z198" s="2"/>
      <c r="AA198" s="2" t="s">
        <v>40</v>
      </c>
      <c r="AB198" s="2" t="s">
        <v>581</v>
      </c>
      <c r="AC198" s="2"/>
      <c r="AD198" s="2"/>
      <c r="AE198" s="2"/>
    </row>
    <row r="199" ht="15.75" customHeight="1">
      <c r="A199" s="2">
        <v>199.0</v>
      </c>
      <c r="B199" s="2" t="s">
        <v>582</v>
      </c>
      <c r="C199" s="2" t="s">
        <v>543</v>
      </c>
      <c r="D199" s="2" t="s">
        <v>33</v>
      </c>
      <c r="E199" s="2" t="s">
        <v>64</v>
      </c>
      <c r="F199" s="3" t="s">
        <v>35</v>
      </c>
      <c r="G199" s="2"/>
      <c r="H199" s="2" t="s">
        <v>64</v>
      </c>
      <c r="I199" s="2" t="s">
        <v>36</v>
      </c>
      <c r="J199" s="2" t="s">
        <v>583</v>
      </c>
      <c r="K199" s="4" t="str">
        <f>HYPERLINK("https://archive.org/details/lossgainstoryofc00newmuoft","Abrir enlace")</f>
        <v>Abrir enlace</v>
      </c>
      <c r="L199" s="2" t="s">
        <v>584</v>
      </c>
      <c r="M199" s="2"/>
      <c r="N199" s="2" t="s">
        <v>54</v>
      </c>
      <c r="O199" s="2"/>
      <c r="P199" s="4" t="str">
        <f>HYPERLINK("https://archive.org/details/lossgainstoryofc00newmuoft","Abrir enlace")</f>
        <v>Abrir enlace</v>
      </c>
      <c r="Q199" s="2"/>
      <c r="R199" s="2"/>
      <c r="S199" s="2"/>
      <c r="T199" s="2"/>
      <c r="U199" s="2"/>
      <c r="V199" s="2"/>
      <c r="W199" s="2"/>
      <c r="X199" s="2"/>
      <c r="Y199" s="2"/>
      <c r="Z199" s="2"/>
      <c r="AA199" s="2" t="s">
        <v>66</v>
      </c>
      <c r="AB199" s="2" t="s">
        <v>150</v>
      </c>
      <c r="AC199" s="2"/>
      <c r="AD199" s="2"/>
      <c r="AE199" s="2"/>
    </row>
    <row r="200" ht="15.75" customHeight="1">
      <c r="A200" s="2">
        <v>200.0</v>
      </c>
      <c r="B200" s="2" t="s">
        <v>585</v>
      </c>
      <c r="C200" s="2" t="s">
        <v>586</v>
      </c>
      <c r="D200" s="2" t="s">
        <v>33</v>
      </c>
      <c r="E200" s="2" t="s">
        <v>70</v>
      </c>
      <c r="F200" s="3" t="s">
        <v>35</v>
      </c>
      <c r="G200" s="2"/>
      <c r="H200" s="2" t="s">
        <v>70</v>
      </c>
      <c r="I200" s="2" t="s">
        <v>36</v>
      </c>
      <c r="J200" s="2" t="s">
        <v>37</v>
      </c>
      <c r="K200" s="4" t="str">
        <f>HYPERLINK("https://archive.org/details/modernchessinst00steigoog","Abrir enlace")</f>
        <v>Abrir enlace</v>
      </c>
      <c r="L200" s="2" t="s">
        <v>585</v>
      </c>
      <c r="M200" s="2"/>
      <c r="N200" s="2" t="s">
        <v>54</v>
      </c>
      <c r="O200" s="2"/>
      <c r="P200" s="4" t="str">
        <f>HYPERLINK("https://archive.org/details/modernchessinst00steigoog","Abrir enlace")</f>
        <v>Abrir enlace</v>
      </c>
      <c r="Q200" s="2"/>
      <c r="R200" s="2"/>
      <c r="S200" s="2"/>
      <c r="T200" s="2"/>
      <c r="U200" s="2"/>
      <c r="V200" s="2"/>
      <c r="W200" s="2"/>
      <c r="X200" s="2"/>
      <c r="Y200" s="2"/>
      <c r="Z200" s="2"/>
      <c r="AA200" s="2" t="s">
        <v>66</v>
      </c>
      <c r="AB200" s="2" t="s">
        <v>72</v>
      </c>
      <c r="AC200" s="2"/>
      <c r="AD200" s="2"/>
      <c r="AE200" s="2"/>
    </row>
    <row r="201" ht="15.75" customHeight="1">
      <c r="A201" s="2">
        <v>201.0</v>
      </c>
      <c r="B201" s="2" t="s">
        <v>587</v>
      </c>
      <c r="C201" s="2" t="s">
        <v>572</v>
      </c>
      <c r="D201" s="2" t="s">
        <v>33</v>
      </c>
      <c r="E201" s="2" t="s">
        <v>64</v>
      </c>
      <c r="F201" s="3" t="s">
        <v>35</v>
      </c>
      <c r="G201" s="2"/>
      <c r="H201" s="2" t="s">
        <v>64</v>
      </c>
      <c r="I201" s="2" t="s">
        <v>36</v>
      </c>
      <c r="J201" s="2" t="s">
        <v>37</v>
      </c>
      <c r="K201" s="4" t="str">
        <f>HYPERLINK("https://openlibrary.org/works/OL13114895W","Abrir enlace")</f>
        <v>Abrir enlace</v>
      </c>
      <c r="L201" s="2" t="s">
        <v>588</v>
      </c>
      <c r="M201" s="2"/>
      <c r="N201" s="2" t="s">
        <v>45</v>
      </c>
      <c r="O201" s="2"/>
      <c r="P201" s="4" t="str">
        <f>HYPERLINK("https://openlibrary.org/works/OL13114895W","Abrir enlace")</f>
        <v>Abrir enlace</v>
      </c>
      <c r="Q201" s="2"/>
      <c r="R201" s="2"/>
      <c r="S201" s="2"/>
      <c r="T201" s="2"/>
      <c r="U201" s="2"/>
      <c r="V201" s="2"/>
      <c r="W201" s="2"/>
      <c r="X201" s="2"/>
      <c r="Y201" s="2"/>
      <c r="Z201" s="2"/>
      <c r="AA201" s="2" t="s">
        <v>66</v>
      </c>
      <c r="AB201" s="2" t="s">
        <v>67</v>
      </c>
      <c r="AC201" s="2"/>
      <c r="AD201" s="2"/>
      <c r="AE201" s="2"/>
    </row>
    <row r="202" ht="15.75" customHeight="1">
      <c r="A202" s="2">
        <v>202.0</v>
      </c>
      <c r="B202" s="2" t="s">
        <v>589</v>
      </c>
      <c r="C202" s="2" t="s">
        <v>572</v>
      </c>
      <c r="D202" s="2" t="s">
        <v>33</v>
      </c>
      <c r="E202" s="2" t="s">
        <v>64</v>
      </c>
      <c r="F202" s="3" t="s">
        <v>35</v>
      </c>
      <c r="G202" s="2"/>
      <c r="H202" s="2" t="s">
        <v>64</v>
      </c>
      <c r="I202" s="2" t="s">
        <v>36</v>
      </c>
      <c r="J202" s="2" t="s">
        <v>590</v>
      </c>
      <c r="K202" s="4" t="str">
        <f>HYPERLINK("https://archive.org/details/adventuresofoliv00dickrich","Abrir enlace")</f>
        <v>Abrir enlace</v>
      </c>
      <c r="L202" s="2" t="s">
        <v>589</v>
      </c>
      <c r="M202" s="2"/>
      <c r="N202" s="2" t="s">
        <v>54</v>
      </c>
      <c r="O202" s="2"/>
      <c r="P202" s="4" t="str">
        <f>HYPERLINK("https://archive.org/details/adventuresofoliv00dickrich","Abrir enlace")</f>
        <v>Abrir enlace</v>
      </c>
      <c r="Q202" s="2"/>
      <c r="R202" s="2"/>
      <c r="S202" s="2"/>
      <c r="T202" s="2"/>
      <c r="U202" s="2"/>
      <c r="V202" s="2"/>
      <c r="W202" s="2"/>
      <c r="X202" s="2"/>
      <c r="Y202" s="2"/>
      <c r="Z202" s="2"/>
      <c r="AA202" s="2" t="s">
        <v>66</v>
      </c>
      <c r="AB202" s="2" t="s">
        <v>150</v>
      </c>
      <c r="AC202" s="2"/>
      <c r="AD202" s="2"/>
      <c r="AE202" s="2"/>
    </row>
    <row r="203" ht="15.75" customHeight="1">
      <c r="A203" s="2">
        <v>203.0</v>
      </c>
      <c r="B203" s="2" t="s">
        <v>591</v>
      </c>
      <c r="C203" s="2" t="s">
        <v>572</v>
      </c>
      <c r="D203" s="2" t="s">
        <v>33</v>
      </c>
      <c r="E203" s="2" t="s">
        <v>34</v>
      </c>
      <c r="F203" s="3" t="s">
        <v>35</v>
      </c>
      <c r="G203" s="2"/>
      <c r="H203" s="2" t="s">
        <v>34</v>
      </c>
      <c r="I203" s="2" t="s">
        <v>36</v>
      </c>
      <c r="J203" s="2" t="s">
        <v>37</v>
      </c>
      <c r="K203" s="4" t="str">
        <f>HYPERLINK("https://archive.org/details/picturesfromital00dick_0","Abrir enlace")</f>
        <v>Abrir enlace</v>
      </c>
      <c r="L203" s="2" t="s">
        <v>592</v>
      </c>
      <c r="M203" s="2"/>
      <c r="N203" s="2" t="s">
        <v>54</v>
      </c>
      <c r="O203" s="2"/>
      <c r="P203" s="4" t="str">
        <f>HYPERLINK("https://archive.org/details/picturesfromital00dick_0","Abrir enlace")</f>
        <v>Abrir enlace</v>
      </c>
      <c r="Q203" s="2"/>
      <c r="R203" s="2"/>
      <c r="S203" s="2"/>
      <c r="T203" s="2"/>
      <c r="U203" s="2"/>
      <c r="V203" s="2"/>
      <c r="W203" s="2"/>
      <c r="X203" s="2"/>
      <c r="Y203" s="2"/>
      <c r="Z203" s="2"/>
      <c r="AA203" s="2" t="s">
        <v>66</v>
      </c>
      <c r="AB203" s="2" t="s">
        <v>41</v>
      </c>
      <c r="AC203" s="2"/>
      <c r="AD203" s="2"/>
      <c r="AE203" s="2"/>
    </row>
    <row r="204" ht="15.75" customHeight="1">
      <c r="A204" s="2">
        <v>204.0</v>
      </c>
      <c r="B204" s="2" t="s">
        <v>593</v>
      </c>
      <c r="C204" s="2" t="s">
        <v>572</v>
      </c>
      <c r="D204" s="2" t="s">
        <v>33</v>
      </c>
      <c r="E204" s="2" t="s">
        <v>64</v>
      </c>
      <c r="F204" s="3" t="s">
        <v>35</v>
      </c>
      <c r="G204" s="2"/>
      <c r="H204" s="2" t="s">
        <v>64</v>
      </c>
      <c r="I204" s="2" t="s">
        <v>36</v>
      </c>
      <c r="J204" s="2" t="s">
        <v>37</v>
      </c>
      <c r="K204" s="4" t="str">
        <f>HYPERLINK("https://play.google.com/store/books/details?id=2HSdT2Sl1WQC&amp;source=gbs_api","Abrir enlace")</f>
        <v>Abrir enlace</v>
      </c>
      <c r="L204" s="2" t="s">
        <v>594</v>
      </c>
      <c r="M204" s="2"/>
      <c r="N204" s="2" t="s">
        <v>39</v>
      </c>
      <c r="O204" s="2"/>
      <c r="P204" s="4" t="str">
        <f>HYPERLINK("https://play.google.com/store/books/details?id=2HSdT2Sl1WQC&amp;source=gbs_api","Abrir enlace")</f>
        <v>Abrir enlace</v>
      </c>
      <c r="Q204" s="2"/>
      <c r="R204" s="2"/>
      <c r="S204" s="2"/>
      <c r="T204" s="2"/>
      <c r="U204" s="2"/>
      <c r="V204" s="2"/>
      <c r="W204" s="2"/>
      <c r="X204" s="2"/>
      <c r="Y204" s="2"/>
      <c r="Z204" s="2"/>
      <c r="AA204" s="2" t="s">
        <v>66</v>
      </c>
      <c r="AB204" s="2" t="s">
        <v>67</v>
      </c>
      <c r="AC204" s="2"/>
      <c r="AD204" s="2"/>
      <c r="AE204" s="2"/>
    </row>
    <row r="205" ht="15.75" customHeight="1">
      <c r="A205" s="2">
        <v>205.0</v>
      </c>
      <c r="B205" s="2" t="s">
        <v>595</v>
      </c>
      <c r="C205" s="2" t="s">
        <v>572</v>
      </c>
      <c r="D205" s="2" t="s">
        <v>33</v>
      </c>
      <c r="E205" s="2" t="s">
        <v>64</v>
      </c>
      <c r="F205" s="3" t="s">
        <v>35</v>
      </c>
      <c r="G205" s="2"/>
      <c r="H205" s="2" t="s">
        <v>64</v>
      </c>
      <c r="I205" s="2" t="s">
        <v>36</v>
      </c>
      <c r="J205" s="2" t="s">
        <v>596</v>
      </c>
      <c r="K205" s="4" t="str">
        <f>HYPERLINK("https://play.google.com/store/books/details?id=70tAAAAAYAAJ&amp;source=gbs_api","Abrir enlace")</f>
        <v>Abrir enlace</v>
      </c>
      <c r="L205" s="2" t="s">
        <v>597</v>
      </c>
      <c r="M205" s="2"/>
      <c r="N205" s="2" t="s">
        <v>39</v>
      </c>
      <c r="O205" s="2"/>
      <c r="P205" s="4" t="str">
        <f>HYPERLINK("https://play.google.com/store/books/details?id=70tAAAAAYAAJ&amp;source=gbs_api","Abrir enlace")</f>
        <v>Abrir enlace</v>
      </c>
      <c r="Q205" s="2"/>
      <c r="R205" s="2"/>
      <c r="S205" s="2"/>
      <c r="T205" s="2"/>
      <c r="U205" s="2"/>
      <c r="V205" s="2"/>
      <c r="W205" s="2"/>
      <c r="X205" s="2"/>
      <c r="Y205" s="2"/>
      <c r="Z205" s="2"/>
      <c r="AA205" s="2" t="s">
        <v>66</v>
      </c>
      <c r="AB205" s="2" t="s">
        <v>150</v>
      </c>
      <c r="AC205" s="2"/>
      <c r="AD205" s="2"/>
      <c r="AE205" s="2"/>
    </row>
    <row r="206" ht="15.75" customHeight="1">
      <c r="A206" s="2">
        <v>206.0</v>
      </c>
      <c r="B206" s="2" t="s">
        <v>598</v>
      </c>
      <c r="C206" s="2" t="s">
        <v>572</v>
      </c>
      <c r="D206" s="2" t="s">
        <v>33</v>
      </c>
      <c r="E206" s="2" t="s">
        <v>64</v>
      </c>
      <c r="F206" s="3" t="s">
        <v>35</v>
      </c>
      <c r="G206" s="2"/>
      <c r="H206" s="2" t="s">
        <v>64</v>
      </c>
      <c r="I206" s="2" t="s">
        <v>36</v>
      </c>
      <c r="J206" s="2" t="s">
        <v>37</v>
      </c>
      <c r="K206" s="4" t="str">
        <f>HYPERLINK("https://archive.org/details/lifeadventuresof0000char_j6x3","Abrir enlace")</f>
        <v>Abrir enlace</v>
      </c>
      <c r="L206" s="2" t="s">
        <v>598</v>
      </c>
      <c r="M206" s="2"/>
      <c r="N206" s="2" t="s">
        <v>54</v>
      </c>
      <c r="O206" s="2"/>
      <c r="P206" s="4" t="str">
        <f>HYPERLINK("https://archive.org/details/lifeadventuresof0000char_j6x3","Abrir enlace")</f>
        <v>Abrir enlace</v>
      </c>
      <c r="Q206" s="2"/>
      <c r="R206" s="2"/>
      <c r="S206" s="2"/>
      <c r="T206" s="2"/>
      <c r="U206" s="2"/>
      <c r="V206" s="2"/>
      <c r="W206" s="2"/>
      <c r="X206" s="2"/>
      <c r="Y206" s="2"/>
      <c r="Z206" s="2"/>
      <c r="AA206" s="2" t="s">
        <v>66</v>
      </c>
      <c r="AB206" s="2" t="s">
        <v>67</v>
      </c>
      <c r="AC206" s="2"/>
      <c r="AD206" s="2"/>
      <c r="AE206" s="2"/>
    </row>
    <row r="207" ht="15.75" customHeight="1">
      <c r="A207" s="2">
        <v>207.0</v>
      </c>
      <c r="B207" s="2" t="s">
        <v>599</v>
      </c>
      <c r="C207" s="2" t="s">
        <v>572</v>
      </c>
      <c r="D207" s="2" t="s">
        <v>33</v>
      </c>
      <c r="E207" s="2" t="s">
        <v>64</v>
      </c>
      <c r="F207" s="3" t="s">
        <v>35</v>
      </c>
      <c r="G207" s="2"/>
      <c r="H207" s="2" t="s">
        <v>64</v>
      </c>
      <c r="I207" s="2" t="s">
        <v>36</v>
      </c>
      <c r="J207" s="2" t="s">
        <v>37</v>
      </c>
      <c r="K207" s="4" t="str">
        <f>HYPERLINK("https://archive.org/details/dombeyson0000char_z9h5","Abrir enlace")</f>
        <v>Abrir enlace</v>
      </c>
      <c r="L207" s="2" t="s">
        <v>600</v>
      </c>
      <c r="M207" s="2"/>
      <c r="N207" s="2" t="s">
        <v>54</v>
      </c>
      <c r="O207" s="2"/>
      <c r="P207" s="4" t="str">
        <f>HYPERLINK("https://archive.org/details/dombeyson0000char_z9h5","Abrir enlace")</f>
        <v>Abrir enlace</v>
      </c>
      <c r="Q207" s="2"/>
      <c r="R207" s="2"/>
      <c r="S207" s="2"/>
      <c r="T207" s="2"/>
      <c r="U207" s="2"/>
      <c r="V207" s="2"/>
      <c r="W207" s="2"/>
      <c r="X207" s="2"/>
      <c r="Y207" s="2"/>
      <c r="Z207" s="2"/>
      <c r="AA207" s="2" t="s">
        <v>66</v>
      </c>
      <c r="AB207" s="2" t="s">
        <v>67</v>
      </c>
      <c r="AC207" s="2"/>
      <c r="AD207" s="2"/>
      <c r="AE207" s="2"/>
    </row>
    <row r="208" ht="15.75" customHeight="1">
      <c r="A208" s="2">
        <v>208.0</v>
      </c>
      <c r="B208" s="2" t="s">
        <v>601</v>
      </c>
      <c r="C208" s="2" t="s">
        <v>572</v>
      </c>
      <c r="D208" s="2" t="s">
        <v>33</v>
      </c>
      <c r="E208" s="2" t="s">
        <v>64</v>
      </c>
      <c r="F208" s="3" t="s">
        <v>35</v>
      </c>
      <c r="G208" s="2"/>
      <c r="H208" s="2" t="s">
        <v>64</v>
      </c>
      <c r="I208" s="2" t="s">
        <v>36</v>
      </c>
      <c r="J208" s="2" t="s">
        <v>37</v>
      </c>
      <c r="K208" s="4" t="str">
        <f>HYPERLINK("https://archive.org/details/workscharlesdic20dickgoog","Abrir enlace")</f>
        <v>Abrir enlace</v>
      </c>
      <c r="L208" s="2" t="s">
        <v>602</v>
      </c>
      <c r="M208" s="2"/>
      <c r="N208" s="2" t="s">
        <v>54</v>
      </c>
      <c r="O208" s="2"/>
      <c r="P208" s="4" t="str">
        <f>HYPERLINK("https://archive.org/details/workscharlesdic20dickgoog","Abrir enlace")</f>
        <v>Abrir enlace</v>
      </c>
      <c r="Q208" s="2"/>
      <c r="R208" s="2"/>
      <c r="S208" s="2"/>
      <c r="T208" s="2"/>
      <c r="U208" s="2"/>
      <c r="V208" s="2"/>
      <c r="W208" s="2"/>
      <c r="X208" s="2"/>
      <c r="Y208" s="2"/>
      <c r="Z208" s="2"/>
      <c r="AA208" s="2" t="s">
        <v>66</v>
      </c>
      <c r="AB208" s="2" t="s">
        <v>67</v>
      </c>
      <c r="AC208" s="2"/>
      <c r="AD208" s="2"/>
      <c r="AE208" s="2"/>
    </row>
    <row r="209" ht="15.75" customHeight="1">
      <c r="A209" s="2">
        <v>209.0</v>
      </c>
      <c r="B209" s="2" t="s">
        <v>603</v>
      </c>
      <c r="C209" s="2" t="s">
        <v>572</v>
      </c>
      <c r="D209" s="2" t="s">
        <v>33</v>
      </c>
      <c r="E209" s="2" t="s">
        <v>64</v>
      </c>
      <c r="F209" s="3" t="s">
        <v>35</v>
      </c>
      <c r="G209" s="2"/>
      <c r="H209" s="2" t="s">
        <v>64</v>
      </c>
      <c r="I209" s="2" t="s">
        <v>36</v>
      </c>
      <c r="J209" s="2" t="s">
        <v>37</v>
      </c>
      <c r="K209" s="4" t="str">
        <f>HYPERLINK("http://books.google.com.mx/books?id=dUteAAAAcAAJ&amp;dq=The+old+curiosity+shop&amp;hl=&amp;as_pt=BOOKS&amp;source=gbs_api","Abrir enlace")</f>
        <v>Abrir enlace</v>
      </c>
      <c r="L209" s="2" t="s">
        <v>604</v>
      </c>
      <c r="M209" s="2"/>
      <c r="N209" s="2" t="s">
        <v>39</v>
      </c>
      <c r="O209" s="2"/>
      <c r="P209" s="4" t="str">
        <f>HYPERLINK("http://books.google.com.mx/books?id=dUteAAAAcAAJ&amp;dq=The+old+curiosity+shop&amp;hl=&amp;as_pt=BOOKS&amp;source=gbs_api","Abrir enlace")</f>
        <v>Abrir enlace</v>
      </c>
      <c r="Q209" s="2"/>
      <c r="R209" s="2"/>
      <c r="S209" s="2"/>
      <c r="T209" s="2"/>
      <c r="U209" s="2"/>
      <c r="V209" s="2"/>
      <c r="W209" s="2"/>
      <c r="X209" s="2"/>
      <c r="Y209" s="2"/>
      <c r="Z209" s="2"/>
      <c r="AA209" s="2" t="s">
        <v>66</v>
      </c>
      <c r="AB209" s="2" t="s">
        <v>67</v>
      </c>
      <c r="AC209" s="2"/>
      <c r="AD209" s="2"/>
      <c r="AE209" s="2"/>
    </row>
    <row r="210" ht="15.75" customHeight="1">
      <c r="A210" s="2">
        <v>210.0</v>
      </c>
      <c r="B210" s="2" t="s">
        <v>605</v>
      </c>
      <c r="C210" s="2" t="s">
        <v>572</v>
      </c>
      <c r="D210" s="2" t="s">
        <v>33</v>
      </c>
      <c r="E210" s="2" t="s">
        <v>64</v>
      </c>
      <c r="F210" s="3" t="s">
        <v>35</v>
      </c>
      <c r="G210" s="2"/>
      <c r="H210" s="2" t="s">
        <v>64</v>
      </c>
      <c r="I210" s="2" t="s">
        <v>36</v>
      </c>
      <c r="J210" s="2" t="s">
        <v>37</v>
      </c>
      <c r="K210" s="4" t="str">
        <f>HYPERLINK("https://archive.org/details/littledorrit00dick_5","Abrir enlace")</f>
        <v>Abrir enlace</v>
      </c>
      <c r="L210" s="2" t="s">
        <v>605</v>
      </c>
      <c r="M210" s="2"/>
      <c r="N210" s="2" t="s">
        <v>54</v>
      </c>
      <c r="O210" s="2"/>
      <c r="P210" s="4" t="str">
        <f>HYPERLINK("https://archive.org/details/littledorrit00dick_5","Abrir enlace")</f>
        <v>Abrir enlace</v>
      </c>
      <c r="Q210" s="2"/>
      <c r="R210" s="2"/>
      <c r="S210" s="2"/>
      <c r="T210" s="2"/>
      <c r="U210" s="2"/>
      <c r="V210" s="2"/>
      <c r="W210" s="2"/>
      <c r="X210" s="2"/>
      <c r="Y210" s="2"/>
      <c r="Z210" s="2"/>
      <c r="AA210" s="2" t="s">
        <v>66</v>
      </c>
      <c r="AB210" s="2" t="s">
        <v>67</v>
      </c>
      <c r="AC210" s="2"/>
      <c r="AD210" s="2"/>
      <c r="AE210" s="2"/>
    </row>
    <row r="211" ht="15.75" customHeight="1">
      <c r="A211" s="2">
        <v>211.0</v>
      </c>
      <c r="B211" s="2" t="s">
        <v>606</v>
      </c>
      <c r="C211" s="2" t="s">
        <v>572</v>
      </c>
      <c r="D211" s="2" t="s">
        <v>33</v>
      </c>
      <c r="E211" s="2" t="s">
        <v>64</v>
      </c>
      <c r="F211" s="3" t="s">
        <v>35</v>
      </c>
      <c r="G211" s="2"/>
      <c r="H211" s="2" t="s">
        <v>64</v>
      </c>
      <c r="I211" s="2" t="s">
        <v>36</v>
      </c>
      <c r="J211" s="2" t="s">
        <v>607</v>
      </c>
      <c r="K211" s="4" t="str">
        <f>HYPERLINK("http://books.google.com.mx/books?id=BziyDAEACAAJ&amp;dq=christams+stories+dickens+charles&amp;hl=&amp;as_pt=BOOKS&amp;source=gbs_api","Abrir enlace")</f>
        <v>Abrir enlace</v>
      </c>
      <c r="L211" s="2" t="s">
        <v>608</v>
      </c>
      <c r="M211" s="2"/>
      <c r="N211" s="2" t="s">
        <v>39</v>
      </c>
      <c r="O211" s="2"/>
      <c r="P211" s="4" t="str">
        <f>HYPERLINK("http://books.google.com.mx/books?id=BziyDAEACAAJ&amp;dq=christams+stories+dickens+charles&amp;hl=&amp;as_pt=BOOKS&amp;source=gbs_api","Abrir enlace")</f>
        <v>Abrir enlace</v>
      </c>
      <c r="Q211" s="2"/>
      <c r="R211" s="2"/>
      <c r="S211" s="2"/>
      <c r="T211" s="2"/>
      <c r="U211" s="2"/>
      <c r="V211" s="2"/>
      <c r="W211" s="2"/>
      <c r="X211" s="2"/>
      <c r="Y211" s="2"/>
      <c r="Z211" s="2"/>
      <c r="AA211" s="2" t="s">
        <v>66</v>
      </c>
      <c r="AB211" s="2" t="s">
        <v>150</v>
      </c>
      <c r="AC211" s="2"/>
      <c r="AD211" s="2"/>
      <c r="AE211" s="2"/>
    </row>
    <row r="212" ht="15.75" customHeight="1">
      <c r="A212" s="2">
        <v>212.0</v>
      </c>
      <c r="B212" s="2" t="s">
        <v>609</v>
      </c>
      <c r="C212" s="2" t="s">
        <v>572</v>
      </c>
      <c r="D212" s="2" t="s">
        <v>33</v>
      </c>
      <c r="E212" s="2" t="s">
        <v>64</v>
      </c>
      <c r="F212" s="3" t="s">
        <v>35</v>
      </c>
      <c r="G212" s="2"/>
      <c r="H212" s="2" t="s">
        <v>64</v>
      </c>
      <c r="I212" s="2" t="s">
        <v>36</v>
      </c>
      <c r="J212" s="2" t="s">
        <v>37</v>
      </c>
      <c r="K212" s="4" t="str">
        <f>HYPERLINK("https://archive.org/details/workscharlesdic45dickgoog","Abrir enlace")</f>
        <v>Abrir enlace</v>
      </c>
      <c r="L212" s="2" t="s">
        <v>610</v>
      </c>
      <c r="M212" s="2"/>
      <c r="N212" s="2" t="s">
        <v>54</v>
      </c>
      <c r="O212" s="2"/>
      <c r="P212" s="4" t="str">
        <f>HYPERLINK("https://archive.org/details/workscharlesdic45dickgoog","Abrir enlace")</f>
        <v>Abrir enlace</v>
      </c>
      <c r="Q212" s="2"/>
      <c r="R212" s="2"/>
      <c r="S212" s="2"/>
      <c r="T212" s="2"/>
      <c r="U212" s="2"/>
      <c r="V212" s="2"/>
      <c r="W212" s="2"/>
      <c r="X212" s="2"/>
      <c r="Y212" s="2"/>
      <c r="Z212" s="2"/>
      <c r="AA212" s="2" t="s">
        <v>66</v>
      </c>
      <c r="AB212" s="2" t="s">
        <v>67</v>
      </c>
      <c r="AC212" s="2"/>
      <c r="AD212" s="2"/>
      <c r="AE212" s="2"/>
    </row>
    <row r="213" ht="15.75" customHeight="1">
      <c r="A213" s="2">
        <v>213.0</v>
      </c>
      <c r="B213" s="2" t="s">
        <v>611</v>
      </c>
      <c r="C213" s="2" t="s">
        <v>612</v>
      </c>
      <c r="D213" s="2" t="s">
        <v>33</v>
      </c>
      <c r="E213" s="2" t="s">
        <v>64</v>
      </c>
      <c r="F213" s="3" t="s">
        <v>35</v>
      </c>
      <c r="G213" s="2"/>
      <c r="H213" s="2" t="s">
        <v>64</v>
      </c>
      <c r="I213" s="2" t="s">
        <v>36</v>
      </c>
      <c r="J213" s="2" t="s">
        <v>37</v>
      </c>
      <c r="K213" s="4" t="str">
        <f>HYPERLINK("http://books.google.com.mx/books?id=j2lImwEACAAJ&amp;dq=The+earlypoems&amp;hl=&amp;as_pt=BOOKS&amp;source=gbs_api","Abrir enlace")</f>
        <v>Abrir enlace</v>
      </c>
      <c r="L213" s="2" t="s">
        <v>613</v>
      </c>
      <c r="M213" s="2"/>
      <c r="N213" s="2" t="s">
        <v>39</v>
      </c>
      <c r="O213" s="2"/>
      <c r="P213" s="4" t="str">
        <f>HYPERLINK("http://books.google.com.mx/books?id=j2lImwEACAAJ&amp;dq=The+earlypoems&amp;hl=&amp;as_pt=BOOKS&amp;source=gbs_api","Abrir enlace")</f>
        <v>Abrir enlace</v>
      </c>
      <c r="Q213" s="2"/>
      <c r="R213" s="2"/>
      <c r="S213" s="2"/>
      <c r="T213" s="2"/>
      <c r="U213" s="2"/>
      <c r="V213" s="2"/>
      <c r="W213" s="2"/>
      <c r="X213" s="2"/>
      <c r="Y213" s="2"/>
      <c r="Z213" s="2"/>
      <c r="AA213" s="2" t="s">
        <v>66</v>
      </c>
      <c r="AB213" s="2" t="s">
        <v>67</v>
      </c>
      <c r="AC213" s="2"/>
      <c r="AD213" s="2"/>
      <c r="AE213" s="2"/>
    </row>
    <row r="214" ht="15.75" customHeight="1">
      <c r="A214" s="2">
        <v>214.0</v>
      </c>
      <c r="B214" s="2" t="s">
        <v>614</v>
      </c>
      <c r="C214" s="2" t="s">
        <v>615</v>
      </c>
      <c r="D214" s="2" t="s">
        <v>33</v>
      </c>
      <c r="E214" s="2" t="s">
        <v>64</v>
      </c>
      <c r="F214" s="3" t="s">
        <v>35</v>
      </c>
      <c r="G214" s="2"/>
      <c r="H214" s="2" t="s">
        <v>64</v>
      </c>
      <c r="I214" s="2" t="s">
        <v>36</v>
      </c>
      <c r="J214" s="2" t="s">
        <v>37</v>
      </c>
      <c r="K214" s="4" t="str">
        <f>HYPERLINK("https://archive.org/details/hypatiaornewfoe14kinggoog","Abrir enlace")</f>
        <v>Abrir enlace</v>
      </c>
      <c r="L214" s="2" t="s">
        <v>616</v>
      </c>
      <c r="M214" s="2"/>
      <c r="N214" s="2" t="s">
        <v>54</v>
      </c>
      <c r="O214" s="2"/>
      <c r="P214" s="4" t="str">
        <f>HYPERLINK("https://archive.org/details/hypatiaornewfoe14kinggoog","Abrir enlace")</f>
        <v>Abrir enlace</v>
      </c>
      <c r="Q214" s="2"/>
      <c r="R214" s="2"/>
      <c r="S214" s="2"/>
      <c r="T214" s="2"/>
      <c r="U214" s="2"/>
      <c r="V214" s="2"/>
      <c r="W214" s="2"/>
      <c r="X214" s="2"/>
      <c r="Y214" s="2"/>
      <c r="Z214" s="2"/>
      <c r="AA214" s="2" t="s">
        <v>66</v>
      </c>
      <c r="AB214" s="2" t="s">
        <v>67</v>
      </c>
      <c r="AC214" s="2"/>
      <c r="AD214" s="2"/>
      <c r="AE214" s="2"/>
    </row>
    <row r="215" ht="15.75" customHeight="1">
      <c r="A215" s="2">
        <v>215.0</v>
      </c>
      <c r="B215" s="2" t="s">
        <v>617</v>
      </c>
      <c r="C215" s="2" t="s">
        <v>618</v>
      </c>
      <c r="D215" s="2" t="s">
        <v>33</v>
      </c>
      <c r="E215" s="2" t="s">
        <v>34</v>
      </c>
      <c r="F215" s="3" t="s">
        <v>35</v>
      </c>
      <c r="G215" s="2"/>
      <c r="H215" s="2" t="s">
        <v>34</v>
      </c>
      <c r="I215" s="2" t="s">
        <v>36</v>
      </c>
      <c r="J215" s="2" t="s">
        <v>37</v>
      </c>
      <c r="K215" s="4" t="str">
        <f t="shared" ref="K215:K217" si="23">HYPERLINK("https://archive.org/details/bub_gb_3yJcDGAGrlUC","Abrir enlace")</f>
        <v>Abrir enlace</v>
      </c>
      <c r="L215" s="2" t="s">
        <v>619</v>
      </c>
      <c r="M215" s="2"/>
      <c r="N215" s="2" t="s">
        <v>54</v>
      </c>
      <c r="O215" s="2"/>
      <c r="P215" s="4" t="str">
        <f t="shared" ref="P215:P217" si="24">HYPERLINK("https://archive.org/details/bub_gb_3yJcDGAGrlUC","Abrir enlace")</f>
        <v>Abrir enlace</v>
      </c>
      <c r="Q215" s="2"/>
      <c r="R215" s="2"/>
      <c r="S215" s="2"/>
      <c r="T215" s="2"/>
      <c r="U215" s="2"/>
      <c r="V215" s="2"/>
      <c r="W215" s="2"/>
      <c r="X215" s="2"/>
      <c r="Y215" s="2"/>
      <c r="Z215" s="2"/>
      <c r="AA215" s="2" t="s">
        <v>60</v>
      </c>
      <c r="AB215" s="2" t="s">
        <v>41</v>
      </c>
      <c r="AC215" s="2"/>
      <c r="AD215" s="2"/>
      <c r="AE215" s="2"/>
    </row>
    <row r="216" ht="15.75" customHeight="1">
      <c r="A216" s="2">
        <v>216.0</v>
      </c>
      <c r="B216" s="2" t="s">
        <v>617</v>
      </c>
      <c r="C216" s="2" t="s">
        <v>618</v>
      </c>
      <c r="D216" s="2" t="s">
        <v>33</v>
      </c>
      <c r="E216" s="2" t="s">
        <v>34</v>
      </c>
      <c r="F216" s="3" t="s">
        <v>35</v>
      </c>
      <c r="G216" s="2"/>
      <c r="H216" s="2" t="s">
        <v>34</v>
      </c>
      <c r="I216" s="2" t="s">
        <v>36</v>
      </c>
      <c r="J216" s="2" t="s">
        <v>37</v>
      </c>
      <c r="K216" s="4" t="str">
        <f t="shared" si="23"/>
        <v>Abrir enlace</v>
      </c>
      <c r="L216" s="2" t="s">
        <v>619</v>
      </c>
      <c r="M216" s="2"/>
      <c r="N216" s="2" t="s">
        <v>54</v>
      </c>
      <c r="O216" s="2"/>
      <c r="P216" s="4" t="str">
        <f t="shared" si="24"/>
        <v>Abrir enlace</v>
      </c>
      <c r="Q216" s="2"/>
      <c r="R216" s="2"/>
      <c r="S216" s="2"/>
      <c r="T216" s="2"/>
      <c r="U216" s="2"/>
      <c r="V216" s="2"/>
      <c r="W216" s="2"/>
      <c r="X216" s="2"/>
      <c r="Y216" s="2"/>
      <c r="Z216" s="2"/>
      <c r="AA216" s="2" t="s">
        <v>60</v>
      </c>
      <c r="AB216" s="2" t="s">
        <v>41</v>
      </c>
      <c r="AC216" s="2"/>
      <c r="AD216" s="2"/>
      <c r="AE216" s="2"/>
    </row>
    <row r="217" ht="15.75" customHeight="1">
      <c r="A217" s="2">
        <v>217.0</v>
      </c>
      <c r="B217" s="2" t="s">
        <v>617</v>
      </c>
      <c r="C217" s="2" t="s">
        <v>618</v>
      </c>
      <c r="D217" s="2" t="s">
        <v>33</v>
      </c>
      <c r="E217" s="2" t="s">
        <v>34</v>
      </c>
      <c r="F217" s="3" t="s">
        <v>35</v>
      </c>
      <c r="G217" s="2"/>
      <c r="H217" s="2" t="s">
        <v>34</v>
      </c>
      <c r="I217" s="2" t="s">
        <v>36</v>
      </c>
      <c r="J217" s="2" t="s">
        <v>37</v>
      </c>
      <c r="K217" s="4" t="str">
        <f t="shared" si="23"/>
        <v>Abrir enlace</v>
      </c>
      <c r="L217" s="2" t="s">
        <v>619</v>
      </c>
      <c r="M217" s="2"/>
      <c r="N217" s="2" t="s">
        <v>54</v>
      </c>
      <c r="O217" s="2"/>
      <c r="P217" s="4" t="str">
        <f t="shared" si="24"/>
        <v>Abrir enlace</v>
      </c>
      <c r="Q217" s="2"/>
      <c r="R217" s="2"/>
      <c r="S217" s="2"/>
      <c r="T217" s="2"/>
      <c r="U217" s="2"/>
      <c r="V217" s="2"/>
      <c r="W217" s="2"/>
      <c r="X217" s="2"/>
      <c r="Y217" s="2"/>
      <c r="Z217" s="2"/>
      <c r="AA217" s="2" t="s">
        <v>60</v>
      </c>
      <c r="AB217" s="2" t="s">
        <v>41</v>
      </c>
      <c r="AC217" s="2"/>
      <c r="AD217" s="2"/>
      <c r="AE217" s="2"/>
    </row>
    <row r="218" ht="15.75" customHeight="1">
      <c r="A218" s="2">
        <v>218.0</v>
      </c>
      <c r="B218" s="2" t="s">
        <v>620</v>
      </c>
      <c r="C218" s="2" t="s">
        <v>621</v>
      </c>
      <c r="D218" s="2" t="s">
        <v>33</v>
      </c>
      <c r="E218" s="2" t="s">
        <v>64</v>
      </c>
      <c r="F218" s="3" t="s">
        <v>35</v>
      </c>
      <c r="G218" s="2"/>
      <c r="H218" s="2" t="s">
        <v>64</v>
      </c>
      <c r="I218" s="2" t="s">
        <v>36</v>
      </c>
      <c r="J218" s="2" t="s">
        <v>37</v>
      </c>
      <c r="K218" s="4" t="str">
        <f>HYPERLINK("https://openlibrary.org/works/OL18088934W","Abrir enlace")</f>
        <v>Abrir enlace</v>
      </c>
      <c r="L218" s="2" t="s">
        <v>622</v>
      </c>
      <c r="M218" s="2"/>
      <c r="N218" s="2" t="s">
        <v>45</v>
      </c>
      <c r="O218" s="2"/>
      <c r="P218" s="4" t="str">
        <f>HYPERLINK("https://openlibrary.org/works/OL18088934W","Abrir enlace")</f>
        <v>Abrir enlace</v>
      </c>
      <c r="Q218" s="2"/>
      <c r="R218" s="2"/>
      <c r="S218" s="2"/>
      <c r="T218" s="2"/>
      <c r="U218" s="2"/>
      <c r="V218" s="2"/>
      <c r="W218" s="2"/>
      <c r="X218" s="2"/>
      <c r="Y218" s="2"/>
      <c r="Z218" s="2"/>
      <c r="AA218" s="2" t="s">
        <v>66</v>
      </c>
      <c r="AB218" s="2" t="s">
        <v>67</v>
      </c>
      <c r="AC218" s="2"/>
      <c r="AD218" s="2"/>
      <c r="AE218" s="2"/>
    </row>
    <row r="219" ht="15.75" customHeight="1">
      <c r="A219" s="2">
        <v>219.0</v>
      </c>
      <c r="B219" s="2" t="s">
        <v>623</v>
      </c>
      <c r="C219" s="2" t="s">
        <v>624</v>
      </c>
      <c r="D219" s="2" t="s">
        <v>33</v>
      </c>
      <c r="E219" s="2" t="s">
        <v>64</v>
      </c>
      <c r="F219" s="3" t="s">
        <v>35</v>
      </c>
      <c r="G219" s="2"/>
      <c r="H219" s="2" t="s">
        <v>64</v>
      </c>
      <c r="I219" s="2" t="s">
        <v>36</v>
      </c>
      <c r="J219" s="2" t="s">
        <v>625</v>
      </c>
      <c r="K219" s="4" t="str">
        <f>HYPERLINK("http://books.google.com.mx/books?id=B4t0QwAACAAJ&amp;dq=Las+vias+del+corazon+:+Relatos+de+ayer+Franco,+D.+Juan+Jos%C3%A9&amp;hl=&amp;as_pt=BOOKS&amp;source=gbs_api","Abrir enlace")</f>
        <v>Abrir enlace</v>
      </c>
      <c r="L219" s="2" t="s">
        <v>626</v>
      </c>
      <c r="M219" s="2"/>
      <c r="N219" s="2" t="s">
        <v>39</v>
      </c>
      <c r="O219" s="2"/>
      <c r="P219" s="4" t="str">
        <f>HYPERLINK("http://books.google.com.mx/books?id=B4t0QwAACAAJ&amp;dq=Las+vias+del+corazon+:+Relatos+de+ayer+Franco,+D.+Juan+Jos%C3%A9&amp;hl=&amp;as_pt=BOOKS&amp;source=gbs_api","Abrir enlace")</f>
        <v>Abrir enlace</v>
      </c>
      <c r="Q219" s="2"/>
      <c r="R219" s="2"/>
      <c r="S219" s="2"/>
      <c r="T219" s="2"/>
      <c r="U219" s="2"/>
      <c r="V219" s="2"/>
      <c r="W219" s="2"/>
      <c r="X219" s="2"/>
      <c r="Y219" s="2"/>
      <c r="Z219" s="2"/>
      <c r="AA219" s="2" t="s">
        <v>51</v>
      </c>
      <c r="AB219" s="2" t="s">
        <v>627</v>
      </c>
      <c r="AC219" s="2"/>
      <c r="AD219" s="2"/>
      <c r="AE219" s="2"/>
    </row>
    <row r="220" ht="15.75" customHeight="1">
      <c r="A220" s="2">
        <v>220.0</v>
      </c>
      <c r="B220" s="2" t="s">
        <v>628</v>
      </c>
      <c r="C220" s="2" t="s">
        <v>629</v>
      </c>
      <c r="D220" s="2" t="s">
        <v>165</v>
      </c>
      <c r="E220" s="2" t="s">
        <v>34</v>
      </c>
      <c r="F220" s="3" t="s">
        <v>35</v>
      </c>
      <c r="G220" s="2"/>
      <c r="H220" s="2" t="s">
        <v>34</v>
      </c>
      <c r="I220" s="2" t="s">
        <v>36</v>
      </c>
      <c r="J220" s="2" t="s">
        <v>37</v>
      </c>
      <c r="K220" s="4" t="str">
        <f>HYPERLINK("https://archive.org/details/in.ernet.dli.2015.522980","Abrir enlace")</f>
        <v>Abrir enlace</v>
      </c>
      <c r="L220" s="2" t="s">
        <v>630</v>
      </c>
      <c r="M220" s="2"/>
      <c r="N220" s="2" t="s">
        <v>54</v>
      </c>
      <c r="O220" s="2"/>
      <c r="P220" s="4" t="str">
        <f>HYPERLINK("https://archive.org/details/in.ernet.dli.2015.522980","Abrir enlace")</f>
        <v>Abrir enlace</v>
      </c>
      <c r="Q220" s="2"/>
      <c r="R220" s="2"/>
      <c r="S220" s="2"/>
      <c r="T220" s="2"/>
      <c r="U220" s="2"/>
      <c r="V220" s="2"/>
      <c r="W220" s="2"/>
      <c r="X220" s="2"/>
      <c r="Y220" s="2"/>
      <c r="Z220" s="2"/>
      <c r="AA220" s="2" t="s">
        <v>66</v>
      </c>
      <c r="AB220" s="2" t="s">
        <v>41</v>
      </c>
      <c r="AC220" s="2"/>
      <c r="AD220" s="2"/>
      <c r="AE220" s="2"/>
    </row>
    <row r="221" ht="15.75" customHeight="1">
      <c r="A221" s="2">
        <v>221.0</v>
      </c>
      <c r="B221" s="2" t="s">
        <v>631</v>
      </c>
      <c r="C221" s="2" t="s">
        <v>632</v>
      </c>
      <c r="D221" s="2" t="s">
        <v>33</v>
      </c>
      <c r="E221" s="2" t="s">
        <v>34</v>
      </c>
      <c r="F221" s="3" t="s">
        <v>35</v>
      </c>
      <c r="G221" s="2"/>
      <c r="H221" s="2" t="s">
        <v>34</v>
      </c>
      <c r="I221" s="2" t="s">
        <v>36</v>
      </c>
      <c r="J221" s="2" t="s">
        <v>37</v>
      </c>
      <c r="K221" s="4" t="str">
        <f>HYPERLINK("https://play.google.com/store/books/details?id=mSVRAAAAcAAJ&amp;source=gbs_api","Abrir enlace")</f>
        <v>Abrir enlace</v>
      </c>
      <c r="L221" s="2" t="s">
        <v>633</v>
      </c>
      <c r="M221" s="2"/>
      <c r="N221" s="2" t="s">
        <v>39</v>
      </c>
      <c r="O221" s="2"/>
      <c r="P221" s="4" t="str">
        <f>HYPERLINK("https://play.google.com/store/books/details?id=mSVRAAAAcAAJ&amp;source=gbs_api","Abrir enlace")</f>
        <v>Abrir enlace</v>
      </c>
      <c r="Q221" s="2"/>
      <c r="R221" s="2"/>
      <c r="S221" s="2"/>
      <c r="T221" s="2"/>
      <c r="U221" s="2"/>
      <c r="V221" s="2"/>
      <c r="W221" s="2"/>
      <c r="X221" s="2"/>
      <c r="Y221" s="2"/>
      <c r="Z221" s="2"/>
      <c r="AA221" s="2" t="s">
        <v>40</v>
      </c>
      <c r="AB221" s="2" t="s">
        <v>41</v>
      </c>
      <c r="AC221" s="2"/>
      <c r="AD221" s="2"/>
      <c r="AE221" s="2"/>
    </row>
    <row r="222" ht="15.75" customHeight="1">
      <c r="A222" s="2">
        <v>222.0</v>
      </c>
      <c r="B222" s="2" t="s">
        <v>634</v>
      </c>
      <c r="C222" s="2" t="s">
        <v>130</v>
      </c>
      <c r="D222" s="2" t="s">
        <v>33</v>
      </c>
      <c r="E222" s="2" t="s">
        <v>34</v>
      </c>
      <c r="F222" s="3" t="s">
        <v>35</v>
      </c>
      <c r="G222" s="2"/>
      <c r="H222" s="2" t="s">
        <v>34</v>
      </c>
      <c r="I222" s="2" t="s">
        <v>36</v>
      </c>
      <c r="J222" s="2" t="s">
        <v>37</v>
      </c>
      <c r="K222" s="4" t="str">
        <f>HYPERLINK("http://books.google.com.mx/books?id=S_4VswEACAAJ&amp;dq=Histoire+de+la+litt%C3%A9rature+grecque+Pierron,+Alexis&amp;hl=&amp;as_pt=BOOKS&amp;source=gbs_api","Abrir enlace")</f>
        <v>Abrir enlace</v>
      </c>
      <c r="L222" s="2" t="s">
        <v>635</v>
      </c>
      <c r="M222" s="2"/>
      <c r="N222" s="2" t="s">
        <v>39</v>
      </c>
      <c r="O222" s="2"/>
      <c r="P222" s="4" t="str">
        <f>HYPERLINK("http://books.google.com.mx/books?id=S_4VswEACAAJ&amp;dq=Histoire+de+la+litt%C3%A9rature+grecque+Pierron,+Alexis&amp;hl=&amp;as_pt=BOOKS&amp;source=gbs_api","Abrir enlace")</f>
        <v>Abrir enlace</v>
      </c>
      <c r="Q222" s="2"/>
      <c r="R222" s="2"/>
      <c r="S222" s="2"/>
      <c r="T222" s="2"/>
      <c r="U222" s="2"/>
      <c r="V222" s="2"/>
      <c r="W222" s="2"/>
      <c r="X222" s="2"/>
      <c r="Y222" s="2"/>
      <c r="Z222" s="2"/>
      <c r="AA222" s="2" t="s">
        <v>40</v>
      </c>
      <c r="AB222" s="2" t="s">
        <v>41</v>
      </c>
      <c r="AC222" s="2"/>
      <c r="AD222" s="2"/>
      <c r="AE222" s="2"/>
    </row>
    <row r="223" ht="15.75" customHeight="1">
      <c r="A223" s="2">
        <v>223.0</v>
      </c>
      <c r="B223" s="2" t="s">
        <v>636</v>
      </c>
      <c r="C223" s="2"/>
      <c r="D223" s="2" t="s">
        <v>49</v>
      </c>
      <c r="E223" s="2" t="s">
        <v>70</v>
      </c>
      <c r="F223" s="3" t="s">
        <v>35</v>
      </c>
      <c r="G223" s="2"/>
      <c r="H223" s="2" t="s">
        <v>70</v>
      </c>
      <c r="I223" s="2" t="s">
        <v>36</v>
      </c>
      <c r="J223" s="2" t="s">
        <v>37</v>
      </c>
      <c r="K223" s="4" t="str">
        <f>HYPERLINK("https://openlibrary.org/works/OL2414160W","Abrir enlace")</f>
        <v>Abrir enlace</v>
      </c>
      <c r="L223" s="2" t="s">
        <v>637</v>
      </c>
      <c r="M223" s="2"/>
      <c r="N223" s="2" t="s">
        <v>45</v>
      </c>
      <c r="O223" s="2"/>
      <c r="P223" s="4" t="str">
        <f>HYPERLINK("https://openlibrary.org/works/OL2414160W","Abrir enlace")</f>
        <v>Abrir enlace</v>
      </c>
      <c r="Q223" s="2"/>
      <c r="R223" s="2"/>
      <c r="S223" s="2"/>
      <c r="T223" s="2"/>
      <c r="U223" s="2"/>
      <c r="V223" s="2"/>
      <c r="W223" s="2"/>
      <c r="X223" s="2"/>
      <c r="Y223" s="2"/>
      <c r="Z223" s="2"/>
      <c r="AA223" s="2" t="s">
        <v>51</v>
      </c>
      <c r="AB223" s="2" t="s">
        <v>72</v>
      </c>
      <c r="AC223" s="2"/>
      <c r="AD223" s="2"/>
      <c r="AE223" s="2"/>
    </row>
    <row r="224" ht="15.75" customHeight="1">
      <c r="A224" s="2">
        <v>224.0</v>
      </c>
      <c r="B224" s="2" t="s">
        <v>638</v>
      </c>
      <c r="C224" s="2" t="s">
        <v>639</v>
      </c>
      <c r="D224" s="2" t="s">
        <v>33</v>
      </c>
      <c r="E224" s="2" t="s">
        <v>64</v>
      </c>
      <c r="F224" s="3" t="s">
        <v>35</v>
      </c>
      <c r="G224" s="2" t="s">
        <v>640</v>
      </c>
      <c r="H224" s="2" t="s">
        <v>64</v>
      </c>
      <c r="I224" s="2" t="s">
        <v>36</v>
      </c>
      <c r="J224" s="2" t="s">
        <v>37</v>
      </c>
      <c r="K224" s="4" t="str">
        <f>HYPERLINK("http://books.google.com.mx/books?id=wqrivgEACAAJ&amp;dq=Quinti+horatti+flacci+opera&amp;hl=&amp;as_pt=BOOKS&amp;source=gbs_api","Abrir enlace")</f>
        <v>Abrir enlace</v>
      </c>
      <c r="L224" s="2" t="s">
        <v>641</v>
      </c>
      <c r="M224" s="2"/>
      <c r="N224" s="2" t="s">
        <v>39</v>
      </c>
      <c r="O224" s="2"/>
      <c r="P224" s="4" t="str">
        <f>HYPERLINK("http://books.google.com.mx/books?id=wqrivgEACAAJ&amp;dq=Quinti+horatti+flacci+opera&amp;hl=&amp;as_pt=BOOKS&amp;source=gbs_api","Abrir enlace")</f>
        <v>Abrir enlace</v>
      </c>
      <c r="Q224" s="2"/>
      <c r="R224" s="2"/>
      <c r="S224" s="2"/>
      <c r="T224" s="2"/>
      <c r="U224" s="2"/>
      <c r="V224" s="2"/>
      <c r="W224" s="2"/>
      <c r="X224" s="2"/>
      <c r="Y224" s="2"/>
      <c r="Z224" s="2"/>
      <c r="AA224" s="2" t="s">
        <v>46</v>
      </c>
      <c r="AB224" s="2" t="s">
        <v>67</v>
      </c>
      <c r="AC224" s="2" t="s">
        <v>640</v>
      </c>
      <c r="AD224" s="2"/>
      <c r="AE224" s="2"/>
    </row>
    <row r="225" ht="15.75" customHeight="1">
      <c r="A225" s="2">
        <v>225.0</v>
      </c>
      <c r="B225" s="2" t="s">
        <v>642</v>
      </c>
      <c r="C225" s="2" t="s">
        <v>643</v>
      </c>
      <c r="D225" s="2" t="s">
        <v>99</v>
      </c>
      <c r="E225" s="2" t="s">
        <v>64</v>
      </c>
      <c r="F225" s="2" t="s">
        <v>35</v>
      </c>
      <c r="G225" s="2"/>
      <c r="H225" s="2" t="s">
        <v>64</v>
      </c>
      <c r="I225" s="2" t="s">
        <v>36</v>
      </c>
      <c r="J225" s="2" t="s">
        <v>644</v>
      </c>
      <c r="K225" s="4" t="str">
        <f>HYPERLINK("https://catalogue.bnf.fr/ark:/12148/cb387641334","Abrir enlace")</f>
        <v>Abrir enlace</v>
      </c>
      <c r="L225" s="2" t="s">
        <v>645</v>
      </c>
      <c r="M225" s="2"/>
      <c r="N225" s="2" t="s">
        <v>91</v>
      </c>
      <c r="O225" s="2" t="s">
        <v>646</v>
      </c>
      <c r="P225" s="4" t="str">
        <f>HYPERLINK("https://catalogue.bnf.fr/ark:/12148/cb387641334","Abrir enlace")</f>
        <v>Abrir enlace</v>
      </c>
      <c r="Q225" s="2" t="s">
        <v>647</v>
      </c>
      <c r="R225" s="2"/>
      <c r="S225" s="2" t="s">
        <v>91</v>
      </c>
      <c r="T225" s="2" t="s">
        <v>648</v>
      </c>
      <c r="U225" s="4" t="str">
        <f>HYPERLINK("https://catalog.hathitrust.org/Record/100270887","Abrir enlace")</f>
        <v>Abrir enlace</v>
      </c>
      <c r="V225" s="2" t="s">
        <v>649</v>
      </c>
      <c r="W225" s="2"/>
      <c r="X225" s="2" t="s">
        <v>91</v>
      </c>
      <c r="Y225" s="2" t="s">
        <v>650</v>
      </c>
      <c r="Z225" s="4" t="str">
        <f>HYPERLINK("https://archive.org/details/cihm_04767","Abrir enlace")</f>
        <v>Abrir enlace</v>
      </c>
      <c r="AA225" s="2"/>
      <c r="AB225" s="2"/>
      <c r="AC225" s="2"/>
      <c r="AD225" s="2"/>
      <c r="AE225" s="2"/>
    </row>
    <row r="226" ht="15.75" customHeight="1">
      <c r="A226" s="2">
        <v>226.0</v>
      </c>
      <c r="B226" s="2" t="s">
        <v>651</v>
      </c>
      <c r="C226" s="2" t="s">
        <v>652</v>
      </c>
      <c r="D226" s="2" t="s">
        <v>33</v>
      </c>
      <c r="E226" s="2" t="s">
        <v>34</v>
      </c>
      <c r="F226" s="2" t="s">
        <v>35</v>
      </c>
      <c r="G226" s="2"/>
      <c r="H226" s="2" t="s">
        <v>34</v>
      </c>
      <c r="I226" s="2" t="s">
        <v>168</v>
      </c>
      <c r="J226" s="2" t="s">
        <v>653</v>
      </c>
      <c r="K226" s="4" t="str">
        <f>HYPERLINK("https://books.google.com/books/about/La_Terra_Santa.html?id=DKs4Mxh7SaIC","Abrir enlace")</f>
        <v>Abrir enlace</v>
      </c>
      <c r="L226" s="2" t="s">
        <v>654</v>
      </c>
      <c r="M226" s="2"/>
      <c r="N226" s="2" t="s">
        <v>91</v>
      </c>
      <c r="O226" s="2" t="s">
        <v>655</v>
      </c>
      <c r="P226" s="4" t="str">
        <f>HYPERLINK("https://books.google.com/books/about/La_Terra_Santa.html?id=DKs4Mxh7SaIC","Abrir enlace")</f>
        <v>Abrir enlace</v>
      </c>
      <c r="Q226" s="2" t="s">
        <v>656</v>
      </c>
      <c r="R226" s="2"/>
      <c r="S226" s="2" t="s">
        <v>91</v>
      </c>
      <c r="T226" s="2" t="s">
        <v>657</v>
      </c>
      <c r="U226" s="4" t="str">
        <f>HYPERLINK("https://www.beweb.chiesacattolica.it/livres/livre/10000000000000928677/La+Terra+Santa+descritta+dal+Padre+Francesco+Cassini+da+Perinaldo+dell'Ordine+de'+Minori+Riformati+visitante+"&amp;"di+Terra+Santa+dedicata+a+sua+Sacra+Real+Maestà+Ferdinando+Secondo+re+delle+Due+Sicilie+e+Gerusalemme+...","Abrir enlace")</f>
        <v>Abrir enlace</v>
      </c>
      <c r="V226" s="2" t="s">
        <v>658</v>
      </c>
      <c r="W226" s="2"/>
      <c r="X226" s="2" t="s">
        <v>91</v>
      </c>
      <c r="Y226" s="2" t="s">
        <v>659</v>
      </c>
      <c r="Z226" s="4" t="str">
        <f>HYPERLINK("https://archive.org/details/bub_gb_oOA0d8x6pscC","Abrir enlace")</f>
        <v>Abrir enlace</v>
      </c>
      <c r="AA226" s="2"/>
      <c r="AB226" s="2"/>
      <c r="AC226" s="2"/>
      <c r="AD226" s="2"/>
      <c r="AE226" s="2"/>
    </row>
    <row r="227" ht="15.75" customHeight="1">
      <c r="A227" s="2">
        <v>227.0</v>
      </c>
      <c r="B227" s="2" t="s">
        <v>660</v>
      </c>
      <c r="C227" s="2"/>
      <c r="D227" s="2" t="s">
        <v>165</v>
      </c>
      <c r="E227" s="2" t="s">
        <v>64</v>
      </c>
      <c r="F227" s="3" t="s">
        <v>35</v>
      </c>
      <c r="G227" s="2"/>
      <c r="H227" s="2" t="s">
        <v>64</v>
      </c>
      <c r="I227" s="2" t="s">
        <v>36</v>
      </c>
      <c r="J227" s="2" t="s">
        <v>37</v>
      </c>
      <c r="K227" s="4" t="str">
        <f>HYPERLINK("https://archive.org/details/10242954bsb","Abrir enlace")</f>
        <v>Abrir enlace</v>
      </c>
      <c r="L227" s="2" t="s">
        <v>661</v>
      </c>
      <c r="M227" s="2"/>
      <c r="N227" s="2" t="s">
        <v>54</v>
      </c>
      <c r="O227" s="2"/>
      <c r="P227" s="4" t="str">
        <f>HYPERLINK("https://archive.org/details/10242954bsb","Abrir enlace")</f>
        <v>Abrir enlace</v>
      </c>
      <c r="Q227" s="2"/>
      <c r="R227" s="2"/>
      <c r="S227" s="2"/>
      <c r="T227" s="2"/>
      <c r="U227" s="2"/>
      <c r="V227" s="2"/>
      <c r="W227" s="2"/>
      <c r="X227" s="2"/>
      <c r="Y227" s="2"/>
      <c r="Z227" s="2"/>
      <c r="AA227" s="2" t="s">
        <v>46</v>
      </c>
      <c r="AB227" s="2" t="s">
        <v>67</v>
      </c>
      <c r="AC227" s="2"/>
      <c r="AD227" s="2"/>
      <c r="AE227" s="2"/>
    </row>
    <row r="228" ht="15.75" customHeight="1">
      <c r="A228" s="2">
        <v>228.0</v>
      </c>
      <c r="B228" s="2" t="s">
        <v>662</v>
      </c>
      <c r="C228" s="2" t="s">
        <v>663</v>
      </c>
      <c r="D228" s="2" t="s">
        <v>33</v>
      </c>
      <c r="E228" s="2" t="s">
        <v>70</v>
      </c>
      <c r="F228" s="3" t="s">
        <v>35</v>
      </c>
      <c r="G228" s="2"/>
      <c r="H228" s="2" t="s">
        <v>70</v>
      </c>
      <c r="I228" s="2" t="s">
        <v>36</v>
      </c>
      <c r="J228" s="2" t="s">
        <v>37</v>
      </c>
      <c r="K228" s="4" t="str">
        <f>HYPERLINK("https://play.google.com/store/books/details?id=qw9ff-ekv6MC&amp;source=gbs_api","Abrir enlace")</f>
        <v>Abrir enlace</v>
      </c>
      <c r="L228" s="2" t="s">
        <v>664</v>
      </c>
      <c r="M228" s="2"/>
      <c r="N228" s="2" t="s">
        <v>39</v>
      </c>
      <c r="O228" s="2"/>
      <c r="P228" s="4" t="str">
        <f>HYPERLINK("https://play.google.com/store/books/details?id=qw9ff-ekv6MC&amp;source=gbs_api","Abrir enlace")</f>
        <v>Abrir enlace</v>
      </c>
      <c r="Q228" s="2"/>
      <c r="R228" s="2"/>
      <c r="S228" s="2"/>
      <c r="T228" s="2"/>
      <c r="U228" s="2"/>
      <c r="V228" s="2"/>
      <c r="W228" s="2"/>
      <c r="X228" s="2"/>
      <c r="Y228" s="2"/>
      <c r="Z228" s="2"/>
      <c r="AA228" s="2" t="s">
        <v>51</v>
      </c>
      <c r="AB228" s="2" t="s">
        <v>72</v>
      </c>
      <c r="AC228" s="2"/>
      <c r="AD228" s="2"/>
      <c r="AE228" s="2"/>
    </row>
    <row r="229" ht="15.75" customHeight="1">
      <c r="A229" s="2">
        <v>229.0</v>
      </c>
      <c r="B229" s="2" t="s">
        <v>665</v>
      </c>
      <c r="C229" s="2" t="s">
        <v>666</v>
      </c>
      <c r="D229" s="2" t="s">
        <v>33</v>
      </c>
      <c r="E229" s="2" t="s">
        <v>64</v>
      </c>
      <c r="F229" s="2" t="s">
        <v>667</v>
      </c>
      <c r="G229" s="2" t="s">
        <v>668</v>
      </c>
      <c r="H229" s="2" t="s">
        <v>112</v>
      </c>
      <c r="I229" s="2" t="s">
        <v>168</v>
      </c>
      <c r="J229" s="2" t="s">
        <v>669</v>
      </c>
      <c r="K229" s="4" t="str">
        <f>HYPERLINK("https://www.le-livre.fr/livres/fiche-ro30126183.html","Abrir enlace")</f>
        <v>Abrir enlace</v>
      </c>
      <c r="L229" s="2" t="s">
        <v>670</v>
      </c>
      <c r="M229" s="2"/>
      <c r="N229" s="2" t="s">
        <v>91</v>
      </c>
      <c r="O229" s="2" t="s">
        <v>671</v>
      </c>
      <c r="P229" s="4" t="str">
        <f>HYPERLINK("https://www.le-livre.fr/livres/fiche-ro30126183.html","Abrir enlace")</f>
        <v>Abrir enlace</v>
      </c>
      <c r="Q229" s="2" t="s">
        <v>672</v>
      </c>
      <c r="R229" s="2"/>
      <c r="S229" s="2" t="s">
        <v>91</v>
      </c>
      <c r="T229" s="2" t="s">
        <v>673</v>
      </c>
      <c r="U229" s="4" t="str">
        <f>HYPERLINK("https://www.abebooks.co.uk/book-search/title/carnets-docteur-heurtault-maitresse-mystique/author/wylm-antoine/","Abrir enlace")</f>
        <v>Abrir enlace</v>
      </c>
      <c r="V229" s="2" t="s">
        <v>674</v>
      </c>
      <c r="W229" s="2" t="s">
        <v>675</v>
      </c>
      <c r="X229" s="2" t="s">
        <v>45</v>
      </c>
      <c r="Y229" s="2" t="s">
        <v>676</v>
      </c>
      <c r="Z229" s="4" t="str">
        <f>HYPERLINK("https://openlibrary.org/works/OL17748060W","Abrir enlace")</f>
        <v>Abrir enlace</v>
      </c>
      <c r="AA229" s="2"/>
      <c r="AB229" s="2"/>
      <c r="AC229" s="2"/>
      <c r="AD229" s="2"/>
      <c r="AE229" s="2"/>
    </row>
    <row r="230" ht="15.75" customHeight="1">
      <c r="A230" s="2">
        <v>230.0</v>
      </c>
      <c r="B230" s="2" t="s">
        <v>677</v>
      </c>
      <c r="C230" s="2"/>
      <c r="D230" s="2" t="s">
        <v>49</v>
      </c>
      <c r="E230" s="2" t="s">
        <v>34</v>
      </c>
      <c r="F230" s="3" t="s">
        <v>35</v>
      </c>
      <c r="G230" s="2"/>
      <c r="H230" s="2" t="s">
        <v>34</v>
      </c>
      <c r="I230" s="2" t="s">
        <v>36</v>
      </c>
      <c r="J230" s="2" t="s">
        <v>37</v>
      </c>
      <c r="K230" s="4" t="str">
        <f>HYPERLINK("https://openlibrary.org/works/OL31604347W","Abrir enlace")</f>
        <v>Abrir enlace</v>
      </c>
      <c r="L230" s="2" t="s">
        <v>678</v>
      </c>
      <c r="M230" s="2"/>
      <c r="N230" s="2" t="s">
        <v>45</v>
      </c>
      <c r="O230" s="2"/>
      <c r="P230" s="4" t="str">
        <f>HYPERLINK("https://openlibrary.org/works/OL31604347W","Abrir enlace")</f>
        <v>Abrir enlace</v>
      </c>
      <c r="Q230" s="2"/>
      <c r="R230" s="2"/>
      <c r="S230" s="2"/>
      <c r="T230" s="2"/>
      <c r="U230" s="2"/>
      <c r="V230" s="2"/>
      <c r="W230" s="2"/>
      <c r="X230" s="2"/>
      <c r="Y230" s="2"/>
      <c r="Z230" s="2"/>
      <c r="AA230" s="2" t="s">
        <v>51</v>
      </c>
      <c r="AB230" s="2" t="s">
        <v>41</v>
      </c>
      <c r="AC230" s="2"/>
      <c r="AD230" s="2"/>
      <c r="AE230" s="2"/>
    </row>
    <row r="231" ht="15.75" customHeight="1">
      <c r="A231" s="2">
        <v>231.0</v>
      </c>
      <c r="B231" s="2" t="s">
        <v>679</v>
      </c>
      <c r="C231" s="2" t="s">
        <v>680</v>
      </c>
      <c r="D231" s="2" t="s">
        <v>49</v>
      </c>
      <c r="E231" s="2" t="s">
        <v>64</v>
      </c>
      <c r="F231" s="3" t="s">
        <v>35</v>
      </c>
      <c r="G231" s="2"/>
      <c r="H231" s="2" t="s">
        <v>64</v>
      </c>
      <c r="I231" s="2" t="s">
        <v>36</v>
      </c>
      <c r="J231" s="2" t="s">
        <v>681</v>
      </c>
      <c r="K231" s="4" t="str">
        <f t="shared" ref="K231:K232" si="25">HYPERLINK("http://books.google.com.mx/books?id=E0kqmAEACAAJ&amp;dq=Poema+del+caballero+de+Florian+Pompilio,+Numa&amp;hl=&amp;as_pt=BOOKS&amp;source=gbs_api","Abrir enlace")</f>
        <v>Abrir enlace</v>
      </c>
      <c r="L231" s="2" t="s">
        <v>682</v>
      </c>
      <c r="M231" s="2"/>
      <c r="N231" s="2" t="s">
        <v>39</v>
      </c>
      <c r="O231" s="2"/>
      <c r="P231" s="4" t="str">
        <f t="shared" ref="P231:P232" si="26">HYPERLINK("http://books.google.com.mx/books?id=E0kqmAEACAAJ&amp;dq=Poema+del+caballero+de+Florian+Pompilio,+Numa&amp;hl=&amp;as_pt=BOOKS&amp;source=gbs_api","Abrir enlace")</f>
        <v>Abrir enlace</v>
      </c>
      <c r="Q231" s="2"/>
      <c r="R231" s="2"/>
      <c r="S231" s="2"/>
      <c r="T231" s="2"/>
      <c r="U231" s="2"/>
      <c r="V231" s="2"/>
      <c r="W231" s="2"/>
      <c r="X231" s="2"/>
      <c r="Y231" s="2"/>
      <c r="Z231" s="2"/>
      <c r="AA231" s="2" t="s">
        <v>51</v>
      </c>
      <c r="AB231" s="2" t="s">
        <v>395</v>
      </c>
      <c r="AC231" s="2"/>
      <c r="AD231" s="2"/>
      <c r="AE231" s="2"/>
    </row>
    <row r="232" ht="15.75" customHeight="1">
      <c r="A232" s="2">
        <v>232.0</v>
      </c>
      <c r="B232" s="2" t="s">
        <v>679</v>
      </c>
      <c r="C232" s="2" t="s">
        <v>680</v>
      </c>
      <c r="D232" s="2" t="s">
        <v>49</v>
      </c>
      <c r="E232" s="2" t="s">
        <v>64</v>
      </c>
      <c r="F232" s="2" t="s">
        <v>174</v>
      </c>
      <c r="G232" s="2" t="s">
        <v>683</v>
      </c>
      <c r="H232" s="2" t="s">
        <v>34</v>
      </c>
      <c r="I232" s="2" t="s">
        <v>36</v>
      </c>
      <c r="J232" s="2" t="s">
        <v>37</v>
      </c>
      <c r="K232" s="4" t="str">
        <f t="shared" si="25"/>
        <v>Abrir enlace</v>
      </c>
      <c r="L232" s="2" t="s">
        <v>682</v>
      </c>
      <c r="M232" s="2"/>
      <c r="N232" s="2" t="s">
        <v>39</v>
      </c>
      <c r="O232" s="2"/>
      <c r="P232" s="4" t="str">
        <f t="shared" si="26"/>
        <v>Abrir enlace</v>
      </c>
      <c r="Q232" s="2"/>
      <c r="R232" s="2"/>
      <c r="S232" s="2"/>
      <c r="T232" s="2"/>
      <c r="U232" s="2"/>
      <c r="V232" s="2"/>
      <c r="W232" s="2"/>
      <c r="X232" s="2"/>
      <c r="Y232" s="2"/>
      <c r="Z232" s="2"/>
      <c r="AA232" s="2" t="s">
        <v>51</v>
      </c>
      <c r="AB232" s="2" t="s">
        <v>41</v>
      </c>
      <c r="AC232" s="2" t="s">
        <v>683</v>
      </c>
      <c r="AD232" s="2"/>
      <c r="AE232" s="2"/>
    </row>
    <row r="233" ht="15.75" customHeight="1">
      <c r="A233" s="2">
        <v>233.0</v>
      </c>
      <c r="B233" s="2" t="s">
        <v>684</v>
      </c>
      <c r="C233" s="2" t="s">
        <v>685</v>
      </c>
      <c r="D233" s="2" t="s">
        <v>33</v>
      </c>
      <c r="E233" s="2" t="s">
        <v>70</v>
      </c>
      <c r="F233" s="3" t="s">
        <v>35</v>
      </c>
      <c r="G233" s="2"/>
      <c r="H233" s="2" t="s">
        <v>70</v>
      </c>
      <c r="I233" s="2" t="s">
        <v>36</v>
      </c>
      <c r="J233" s="2" t="s">
        <v>37</v>
      </c>
      <c r="K233" s="4" t="str">
        <f>HYPERLINK("http://books.google.com.mx/books?id=Z66BNQAACAAJ&amp;dq=Curso+completo+elemental+de+matem%C3%A1ticas+puras+:+Aritmetica&amp;hl=&amp;as_pt=BOOKS&amp;source=gbs_api","Abrir enlace")</f>
        <v>Abrir enlace</v>
      </c>
      <c r="L233" s="2" t="s">
        <v>686</v>
      </c>
      <c r="M233" s="2"/>
      <c r="N233" s="2" t="s">
        <v>39</v>
      </c>
      <c r="O233" s="2"/>
      <c r="P233" s="4" t="str">
        <f>HYPERLINK("http://books.google.com.mx/books?id=Z66BNQAACAAJ&amp;dq=Curso+completo+elemental+de+matem%C3%A1ticas+puras+:+Aritmetica&amp;hl=&amp;as_pt=BOOKS&amp;source=gbs_api","Abrir enlace")</f>
        <v>Abrir enlace</v>
      </c>
      <c r="Q233" s="2"/>
      <c r="R233" s="2"/>
      <c r="S233" s="2"/>
      <c r="T233" s="2"/>
      <c r="U233" s="2"/>
      <c r="V233" s="2"/>
      <c r="W233" s="2"/>
      <c r="X233" s="2"/>
      <c r="Y233" s="2"/>
      <c r="Z233" s="2"/>
      <c r="AA233" s="2" t="s">
        <v>687</v>
      </c>
      <c r="AB233" s="2" t="s">
        <v>72</v>
      </c>
      <c r="AC233" s="2"/>
      <c r="AD233" s="2"/>
      <c r="AE233" s="2"/>
    </row>
    <row r="234" ht="15.75" customHeight="1">
      <c r="A234" s="2">
        <v>234.0</v>
      </c>
      <c r="B234" s="2" t="s">
        <v>688</v>
      </c>
      <c r="C234" s="2" t="s">
        <v>689</v>
      </c>
      <c r="D234" s="2" t="s">
        <v>33</v>
      </c>
      <c r="E234" s="2" t="s">
        <v>64</v>
      </c>
      <c r="F234" s="3" t="s">
        <v>35</v>
      </c>
      <c r="G234" s="2"/>
      <c r="H234" s="2" t="s">
        <v>64</v>
      </c>
      <c r="I234" s="2" t="s">
        <v>36</v>
      </c>
      <c r="J234" s="2" t="s">
        <v>690</v>
      </c>
      <c r="K234" s="4" t="str">
        <f>HYPERLINK("https://archive.org/details/sceltepoesieita00montgoog","Abrir enlace")</f>
        <v>Abrir enlace</v>
      </c>
      <c r="L234" s="2" t="s">
        <v>688</v>
      </c>
      <c r="M234" s="2"/>
      <c r="N234" s="2" t="s">
        <v>54</v>
      </c>
      <c r="O234" s="2"/>
      <c r="P234" s="4" t="str">
        <f>HYPERLINK("https://archive.org/details/sceltepoesieita00montgoog","Abrir enlace")</f>
        <v>Abrir enlace</v>
      </c>
      <c r="Q234" s="2"/>
      <c r="R234" s="2"/>
      <c r="S234" s="2"/>
      <c r="T234" s="2"/>
      <c r="U234" s="2"/>
      <c r="V234" s="2"/>
      <c r="W234" s="2"/>
      <c r="X234" s="2"/>
      <c r="Y234" s="2"/>
      <c r="Z234" s="2"/>
      <c r="AA234" s="2" t="s">
        <v>60</v>
      </c>
      <c r="AB234" s="2" t="s">
        <v>395</v>
      </c>
      <c r="AC234" s="2"/>
      <c r="AD234" s="2"/>
      <c r="AE234" s="2"/>
    </row>
    <row r="235" ht="15.75" customHeight="1">
      <c r="A235" s="2">
        <v>235.0</v>
      </c>
      <c r="B235" s="2" t="s">
        <v>691</v>
      </c>
      <c r="C235" s="2" t="s">
        <v>692</v>
      </c>
      <c r="D235" s="2" t="s">
        <v>49</v>
      </c>
      <c r="E235" s="2" t="s">
        <v>64</v>
      </c>
      <c r="F235" s="3" t="s">
        <v>35</v>
      </c>
      <c r="G235" s="2"/>
      <c r="H235" s="2" t="s">
        <v>64</v>
      </c>
      <c r="I235" s="2" t="s">
        <v>36</v>
      </c>
      <c r="J235" s="2" t="s">
        <v>693</v>
      </c>
      <c r="K235" s="4" t="str">
        <f>HYPERLINK("https://openlibrary.org/works/OL43489873W","Abrir enlace")</f>
        <v>Abrir enlace</v>
      </c>
      <c r="L235" s="2" t="s">
        <v>691</v>
      </c>
      <c r="M235" s="2"/>
      <c r="N235" s="2" t="s">
        <v>45</v>
      </c>
      <c r="O235" s="2"/>
      <c r="P235" s="4" t="str">
        <f>HYPERLINK("https://openlibrary.org/works/OL43489873W","Abrir enlace")</f>
        <v>Abrir enlace</v>
      </c>
      <c r="Q235" s="2"/>
      <c r="R235" s="2"/>
      <c r="S235" s="2"/>
      <c r="T235" s="2"/>
      <c r="U235" s="2"/>
      <c r="V235" s="2"/>
      <c r="W235" s="2"/>
      <c r="X235" s="2"/>
      <c r="Y235" s="2"/>
      <c r="Z235" s="2"/>
      <c r="AA235" s="2" t="s">
        <v>60</v>
      </c>
      <c r="AB235" s="2" t="s">
        <v>395</v>
      </c>
      <c r="AC235" s="2"/>
      <c r="AD235" s="2"/>
      <c r="AE235" s="2"/>
    </row>
    <row r="236" ht="15.75" customHeight="1">
      <c r="A236" s="2">
        <v>236.0</v>
      </c>
      <c r="B236" s="2" t="s">
        <v>694</v>
      </c>
      <c r="C236" s="2"/>
      <c r="D236" s="2" t="s">
        <v>49</v>
      </c>
      <c r="E236" s="2" t="s">
        <v>70</v>
      </c>
      <c r="F236" s="3" t="s">
        <v>35</v>
      </c>
      <c r="G236" s="2"/>
      <c r="H236" s="2" t="s">
        <v>70</v>
      </c>
      <c r="I236" s="2" t="s">
        <v>168</v>
      </c>
      <c r="J236" s="2" t="s">
        <v>695</v>
      </c>
      <c r="K236" s="4" t="str">
        <f>HYPERLINK("https://openlibrary.org/works/OL22091361W","Abrir enlace")</f>
        <v>Abrir enlace</v>
      </c>
      <c r="L236" s="2" t="s">
        <v>696</v>
      </c>
      <c r="M236" s="2"/>
      <c r="N236" s="2" t="s">
        <v>45</v>
      </c>
      <c r="O236" s="2"/>
      <c r="P236" s="4" t="str">
        <f>HYPERLINK("https://openlibrary.org/works/OL22091361W","Abrir enlace")</f>
        <v>Abrir enlace</v>
      </c>
      <c r="Q236" s="2"/>
      <c r="R236" s="2"/>
      <c r="S236" s="2"/>
      <c r="T236" s="2"/>
      <c r="U236" s="2"/>
      <c r="V236" s="2"/>
      <c r="W236" s="2"/>
      <c r="X236" s="2"/>
      <c r="Y236" s="2"/>
      <c r="Z236" s="2"/>
      <c r="AA236" s="2" t="s">
        <v>46</v>
      </c>
      <c r="AB236" s="2" t="s">
        <v>697</v>
      </c>
      <c r="AC236" s="2"/>
      <c r="AD236" s="2"/>
      <c r="AE236" s="2"/>
    </row>
    <row r="237" ht="15.75" customHeight="1">
      <c r="A237" s="2">
        <v>237.0</v>
      </c>
      <c r="B237" s="2" t="s">
        <v>698</v>
      </c>
      <c r="C237" s="2" t="s">
        <v>699</v>
      </c>
      <c r="D237" s="2" t="s">
        <v>33</v>
      </c>
      <c r="E237" s="2" t="s">
        <v>64</v>
      </c>
      <c r="F237" s="3" t="s">
        <v>35</v>
      </c>
      <c r="G237" s="2"/>
      <c r="H237" s="2" t="s">
        <v>64</v>
      </c>
      <c r="I237" s="2" t="s">
        <v>36</v>
      </c>
      <c r="J237" s="2" t="s">
        <v>37</v>
      </c>
      <c r="K237" s="4" t="str">
        <f>HYPERLINK("http://books.google.com.mx/books?id=5wKkXwAACAAJ&amp;dq=Les+elements+de+la+languaje+angloise+Peyton,+V.+J.&amp;hl=&amp;as_pt=BOOKS&amp;source=gbs_api","Abrir enlace")</f>
        <v>Abrir enlace</v>
      </c>
      <c r="L237" s="2" t="s">
        <v>700</v>
      </c>
      <c r="M237" s="2"/>
      <c r="N237" s="2" t="s">
        <v>39</v>
      </c>
      <c r="O237" s="2"/>
      <c r="P237" s="4" t="str">
        <f>HYPERLINK("http://books.google.com.mx/books?id=5wKkXwAACAAJ&amp;dq=Les+elements+de+la+languaje+angloise+Peyton,+V.+J.&amp;hl=&amp;as_pt=BOOKS&amp;source=gbs_api","Abrir enlace")</f>
        <v>Abrir enlace</v>
      </c>
      <c r="Q237" s="2"/>
      <c r="R237" s="2"/>
      <c r="S237" s="2"/>
      <c r="T237" s="2"/>
      <c r="U237" s="2"/>
      <c r="V237" s="2"/>
      <c r="W237" s="2"/>
      <c r="X237" s="2"/>
      <c r="Y237" s="2"/>
      <c r="Z237" s="2"/>
      <c r="AA237" s="2" t="s">
        <v>40</v>
      </c>
      <c r="AB237" s="2" t="s">
        <v>67</v>
      </c>
      <c r="AC237" s="2"/>
      <c r="AD237" s="2"/>
      <c r="AE237" s="2"/>
    </row>
    <row r="238" ht="15.75" customHeight="1">
      <c r="A238" s="2">
        <v>238.0</v>
      </c>
      <c r="B238" s="2" t="s">
        <v>701</v>
      </c>
      <c r="C238" s="2" t="s">
        <v>702</v>
      </c>
      <c r="D238" s="2" t="s">
        <v>33</v>
      </c>
      <c r="E238" s="2" t="s">
        <v>112</v>
      </c>
      <c r="F238" s="2" t="s">
        <v>35</v>
      </c>
      <c r="G238" s="2"/>
      <c r="H238" s="2" t="s">
        <v>112</v>
      </c>
      <c r="I238" s="2" t="s">
        <v>36</v>
      </c>
      <c r="J238" s="2" t="s">
        <v>703</v>
      </c>
      <c r="K238" s="4" t="str">
        <f>HYPERLINK("https://picclick.it/Risposte-A-Due-Pastori-Protestanti-Buselli-Bettazzi-1864-322867583431.html","Abrir enlace")</f>
        <v>Abrir enlace</v>
      </c>
      <c r="L238" s="2" t="s">
        <v>704</v>
      </c>
      <c r="M238" s="2"/>
      <c r="N238" s="2" t="s">
        <v>91</v>
      </c>
      <c r="O238" s="2" t="s">
        <v>705</v>
      </c>
      <c r="P238" s="4" t="str">
        <f>HYPERLINK("https://picclick.it/Risposte-A-Due-Pastori-Protestanti-Buselli-Bettazzi-1864-322867583431.html","Abrir enlace")</f>
        <v>Abrir enlace</v>
      </c>
      <c r="Q238" s="2" t="s">
        <v>706</v>
      </c>
      <c r="R238" s="2"/>
      <c r="S238" s="2" t="s">
        <v>91</v>
      </c>
      <c r="T238" s="2" t="s">
        <v>707</v>
      </c>
      <c r="U238" s="4" t="str">
        <f>HYPERLINK("https://www.iberlibro.com/buscar-libro/autor/buselli-remigio/","Abrir enlace")</f>
        <v>Abrir enlace</v>
      </c>
      <c r="V238" s="2" t="s">
        <v>708</v>
      </c>
      <c r="W238" s="2"/>
      <c r="X238" s="2" t="s">
        <v>91</v>
      </c>
      <c r="Y238" s="2" t="s">
        <v>709</v>
      </c>
      <c r="Z238" s="4" t="str">
        <f>HYPERLINK("https://archive.org/details/lemmausevangeli00busegoog","Abrir enlace")</f>
        <v>Abrir enlace</v>
      </c>
      <c r="AA238" s="2"/>
      <c r="AB238" s="2"/>
      <c r="AC238" s="2"/>
      <c r="AD238" s="2"/>
      <c r="AE238" s="2"/>
    </row>
    <row r="239" ht="15.75" customHeight="1">
      <c r="A239" s="2">
        <v>239.0</v>
      </c>
      <c r="B239" s="2" t="s">
        <v>710</v>
      </c>
      <c r="C239" s="2"/>
      <c r="D239" s="2" t="s">
        <v>165</v>
      </c>
      <c r="E239" s="2" t="s">
        <v>112</v>
      </c>
      <c r="F239" s="3" t="s">
        <v>35</v>
      </c>
      <c r="G239" s="2"/>
      <c r="H239" s="2" t="s">
        <v>112</v>
      </c>
      <c r="I239" s="2" t="s">
        <v>168</v>
      </c>
      <c r="J239" s="2" t="s">
        <v>711</v>
      </c>
      <c r="K239" s="4" t="str">
        <f>HYPERLINK("https://openlibrary.org/works/OL12508695W","Abrir enlace")</f>
        <v>Abrir enlace</v>
      </c>
      <c r="L239" s="2" t="s">
        <v>710</v>
      </c>
      <c r="M239" s="2"/>
      <c r="N239" s="2" t="s">
        <v>45</v>
      </c>
      <c r="O239" s="2"/>
      <c r="P239" s="4" t="str">
        <f>HYPERLINK("https://openlibrary.org/works/OL12508695W","Abrir enlace")</f>
        <v>Abrir enlace</v>
      </c>
      <c r="Q239" s="2"/>
      <c r="R239" s="2"/>
      <c r="S239" s="2"/>
      <c r="T239" s="2"/>
      <c r="U239" s="2"/>
      <c r="V239" s="2"/>
      <c r="W239" s="2"/>
      <c r="X239" s="2"/>
      <c r="Y239" s="2"/>
      <c r="Z239" s="2"/>
      <c r="AA239" s="2" t="s">
        <v>46</v>
      </c>
      <c r="AB239" s="2" t="s">
        <v>712</v>
      </c>
      <c r="AC239" s="2"/>
      <c r="AD239" s="2"/>
      <c r="AE239" s="2"/>
    </row>
    <row r="240" ht="15.75" customHeight="1">
      <c r="A240" s="2">
        <v>240.0</v>
      </c>
      <c r="B240" s="2" t="s">
        <v>713</v>
      </c>
      <c r="C240" s="2"/>
      <c r="D240" s="2" t="s">
        <v>99</v>
      </c>
      <c r="E240" s="2" t="s">
        <v>34</v>
      </c>
      <c r="F240" s="2" t="s">
        <v>35</v>
      </c>
      <c r="G240" s="2"/>
      <c r="H240" s="2" t="s">
        <v>34</v>
      </c>
      <c r="I240" s="2" t="s">
        <v>168</v>
      </c>
      <c r="J240" s="2" t="s">
        <v>714</v>
      </c>
      <c r="K240" s="4" t="str">
        <f>HYPERLINK("https://gallica.bnf.fr/ark:/12148/bpt6k5613213z.texteBrut","Abrir enlace")</f>
        <v>Abrir enlace</v>
      </c>
      <c r="L240" s="2" t="s">
        <v>715</v>
      </c>
      <c r="M240" s="2"/>
      <c r="N240" s="2" t="s">
        <v>91</v>
      </c>
      <c r="O240" s="2" t="s">
        <v>716</v>
      </c>
      <c r="P240" s="4" t="str">
        <f>HYPERLINK("https://gallica.bnf.fr/ark:/12148/bpt6k5613213z.texteBrut","Abrir enlace")</f>
        <v>Abrir enlace</v>
      </c>
      <c r="Q240" s="2" t="s">
        <v>717</v>
      </c>
      <c r="R240" s="2" t="s">
        <v>718</v>
      </c>
      <c r="S240" s="2" t="s">
        <v>45</v>
      </c>
      <c r="T240" s="2" t="s">
        <v>719</v>
      </c>
      <c r="U240" s="4" t="str">
        <f>HYPERLINK("https://openlibrary.org/works/OL37344376W","Abrir enlace")</f>
        <v>Abrir enlace</v>
      </c>
      <c r="V240" s="2" t="s">
        <v>720</v>
      </c>
      <c r="W240" s="2" t="s">
        <v>721</v>
      </c>
      <c r="X240" s="2" t="s">
        <v>45</v>
      </c>
      <c r="Y240" s="2" t="s">
        <v>722</v>
      </c>
      <c r="Z240" s="4" t="str">
        <f>HYPERLINK("https://openlibrary.org/works/OL13514339W","Abrir enlace")</f>
        <v>Abrir enlace</v>
      </c>
      <c r="AA240" s="2"/>
      <c r="AB240" s="2"/>
      <c r="AC240" s="2"/>
      <c r="AD240" s="2"/>
      <c r="AE240" s="2"/>
    </row>
    <row r="241" ht="15.75" customHeight="1">
      <c r="A241" s="2">
        <v>241.0</v>
      </c>
      <c r="B241" s="2" t="s">
        <v>723</v>
      </c>
      <c r="C241" s="2"/>
      <c r="D241" s="2" t="s">
        <v>49</v>
      </c>
      <c r="E241" s="2" t="s">
        <v>64</v>
      </c>
      <c r="F241" s="2" t="s">
        <v>35</v>
      </c>
      <c r="G241" s="2"/>
      <c r="H241" s="2" t="s">
        <v>64</v>
      </c>
      <c r="I241" s="2" t="s">
        <v>36</v>
      </c>
      <c r="J241" s="2" t="s">
        <v>724</v>
      </c>
      <c r="K241" s="4" t="str">
        <f>HYPERLINK("https://books.google.com/books/about/Modèles_d_éloquence_ou_les_traits_bril.html?id=_jAGS2lbFTMC","Abrir enlace")</f>
        <v>Abrir enlace</v>
      </c>
      <c r="L241" s="2" t="s">
        <v>725</v>
      </c>
      <c r="M241" s="2"/>
      <c r="N241" s="2" t="s">
        <v>91</v>
      </c>
      <c r="O241" s="2" t="s">
        <v>726</v>
      </c>
      <c r="P241" s="4" t="str">
        <f>HYPERLINK("https://books.google.com/books/about/Modèles_d_éloquence_ou_les_traits_bril.html?id=_jAGS2lbFTMC","Abrir enlace")</f>
        <v>Abrir enlace</v>
      </c>
      <c r="Q241" s="2" t="s">
        <v>727</v>
      </c>
      <c r="R241" s="2"/>
      <c r="S241" s="2" t="s">
        <v>91</v>
      </c>
      <c r="T241" s="2" t="s">
        <v>728</v>
      </c>
      <c r="U241" s="4" t="str">
        <f>HYPERLINK("https://www.elevetavoix.com/blog/rhetorique-eloquence","Abrir enlace")</f>
        <v>Abrir enlace</v>
      </c>
      <c r="V241" s="2" t="s">
        <v>729</v>
      </c>
      <c r="W241" s="2"/>
      <c r="X241" s="2" t="s">
        <v>91</v>
      </c>
      <c r="Y241" s="2" t="s">
        <v>730</v>
      </c>
      <c r="Z241" s="4" t="str">
        <f>HYPERLINK("https://app.studyraid.com/fr/read/5431/117394/les-differents-types-deloquence","Abrir enlace")</f>
        <v>Abrir enlace</v>
      </c>
      <c r="AA241" s="2"/>
      <c r="AB241" s="2"/>
      <c r="AC241" s="2"/>
      <c r="AD241" s="2"/>
      <c r="AE241" s="2"/>
    </row>
    <row r="242" ht="15.75" customHeight="1">
      <c r="A242" s="2">
        <v>242.0</v>
      </c>
      <c r="B242" s="2" t="s">
        <v>731</v>
      </c>
      <c r="C242" s="2" t="s">
        <v>732</v>
      </c>
      <c r="D242" s="2" t="s">
        <v>33</v>
      </c>
      <c r="E242" s="2" t="s">
        <v>64</v>
      </c>
      <c r="F242" s="2" t="s">
        <v>35</v>
      </c>
      <c r="G242" s="2"/>
      <c r="H242" s="2" t="s">
        <v>64</v>
      </c>
      <c r="I242" s="2" t="s">
        <v>36</v>
      </c>
      <c r="J242" s="2" t="s">
        <v>733</v>
      </c>
      <c r="K242" s="4" t="str">
        <f>HYPERLINK("https://books.google.com.mx/books/about/Les_Satiriques_Latins.html?id=j3vSUCX_TNoC&amp;redir_esc=y","Abrir enlace")</f>
        <v>Abrir enlace</v>
      </c>
      <c r="L242" s="2" t="s">
        <v>731</v>
      </c>
      <c r="M242" s="2" t="s">
        <v>732</v>
      </c>
      <c r="N242" s="2" t="s">
        <v>734</v>
      </c>
      <c r="O242" s="2" t="s">
        <v>735</v>
      </c>
      <c r="P242" s="4" t="str">
        <f>HYPERLINK("https://books.google.com.mx/books/about/Les_Satiriques_Latins.html?id=j3vSUCX_TNoC&amp;redir_esc=y","Abrir enlace")</f>
        <v>Abrir enlace</v>
      </c>
      <c r="Q242" s="2" t="s">
        <v>736</v>
      </c>
      <c r="R242" s="2"/>
      <c r="S242" s="2" t="s">
        <v>91</v>
      </c>
      <c r="T242" s="2" t="s">
        <v>737</v>
      </c>
      <c r="U242" s="4" t="str">
        <f>HYPERLINK("https://archive.org/details/oeuvrescomplte00nisauoft","Abrir enlace")</f>
        <v>Abrir enlace</v>
      </c>
      <c r="V242" s="2" t="s">
        <v>738</v>
      </c>
      <c r="W242" s="2"/>
      <c r="X242" s="2" t="s">
        <v>91</v>
      </c>
      <c r="Y242" s="2" t="s">
        <v>739</v>
      </c>
      <c r="Z242" s="4" t="str">
        <f>HYPERLINK("https://www.librairie-du-bassin.com/catalogue/L129066.html","Abrir enlace")</f>
        <v>Abrir enlace</v>
      </c>
      <c r="AA242" s="2"/>
      <c r="AB242" s="2"/>
      <c r="AC242" s="2"/>
      <c r="AD242" s="4" t="str">
        <f>HYPERLINK("https://books.google.com.mx/books/about/Les_Satiriques_Latins.html?id=j3vSUCX_TNoC&amp;redir_esc=y","Abrir enlace")</f>
        <v>Abrir enlace</v>
      </c>
      <c r="AE242" s="2" t="s">
        <v>740</v>
      </c>
    </row>
    <row r="243" ht="15.75" customHeight="1">
      <c r="A243" s="2">
        <v>243.0</v>
      </c>
      <c r="B243" s="2" t="s">
        <v>741</v>
      </c>
      <c r="C243" s="2"/>
      <c r="D243" s="2" t="s">
        <v>49</v>
      </c>
      <c r="E243" s="2" t="s">
        <v>34</v>
      </c>
      <c r="F243" s="3" t="s">
        <v>35</v>
      </c>
      <c r="G243" s="2"/>
      <c r="H243" s="2" t="s">
        <v>34</v>
      </c>
      <c r="I243" s="2" t="s">
        <v>36</v>
      </c>
      <c r="J243" s="2" t="s">
        <v>742</v>
      </c>
      <c r="K243" s="4" t="str">
        <f>HYPERLINK("http://books.google.com.mx/books?id=NMtJMwEACAAJ&amp;dq=Cornelli+Nepotis+:+Vitae+excellntium+imperatorum&amp;hl=&amp;as_pt=BOOKS&amp;source=gbs_api","Abrir enlace")</f>
        <v>Abrir enlace</v>
      </c>
      <c r="L243" s="2" t="s">
        <v>743</v>
      </c>
      <c r="M243" s="2"/>
      <c r="N243" s="2" t="s">
        <v>39</v>
      </c>
      <c r="O243" s="2"/>
      <c r="P243" s="4" t="str">
        <f>HYPERLINK("http://books.google.com.mx/books?id=NMtJMwEACAAJ&amp;dq=Cornelli+Nepotis+:+Vitae+excellntium+imperatorum&amp;hl=&amp;as_pt=BOOKS&amp;source=gbs_api","Abrir enlace")</f>
        <v>Abrir enlace</v>
      </c>
      <c r="Q243" s="2"/>
      <c r="R243" s="2"/>
      <c r="S243" s="2"/>
      <c r="T243" s="2"/>
      <c r="U243" s="2"/>
      <c r="V243" s="2"/>
      <c r="W243" s="2"/>
      <c r="X243" s="2"/>
      <c r="Y243" s="2"/>
      <c r="Z243" s="2"/>
      <c r="AA243" s="2" t="s">
        <v>46</v>
      </c>
      <c r="AB243" s="2" t="s">
        <v>744</v>
      </c>
      <c r="AC243" s="2"/>
      <c r="AD243" s="2"/>
      <c r="AE243" s="2"/>
    </row>
    <row r="244" ht="15.75" customHeight="1">
      <c r="A244" s="2">
        <v>244.0</v>
      </c>
      <c r="B244" s="2" t="s">
        <v>745</v>
      </c>
      <c r="C244" s="2"/>
      <c r="D244" s="2" t="s">
        <v>49</v>
      </c>
      <c r="E244" s="2" t="s">
        <v>64</v>
      </c>
      <c r="F244" s="3" t="s">
        <v>35</v>
      </c>
      <c r="G244" s="2"/>
      <c r="H244" s="2" t="s">
        <v>64</v>
      </c>
      <c r="I244" s="2" t="s">
        <v>36</v>
      </c>
      <c r="J244" s="2" t="s">
        <v>37</v>
      </c>
      <c r="K244" s="4" t="str">
        <f>HYPERLINK("http://books.google.com.mx/books?id=qV5IvgAACAAJ&amp;dq=theocritus+bion+moschus&amp;hl=&amp;as_pt=BOOKS&amp;source=gbs_api","Abrir enlace")</f>
        <v>Abrir enlace</v>
      </c>
      <c r="L244" s="2" t="s">
        <v>746</v>
      </c>
      <c r="M244" s="2"/>
      <c r="N244" s="2" t="s">
        <v>39</v>
      </c>
      <c r="O244" s="2"/>
      <c r="P244" s="4" t="str">
        <f>HYPERLINK("http://books.google.com.mx/books?id=qV5IvgAACAAJ&amp;dq=theocritus+bion+moschus&amp;hl=&amp;as_pt=BOOKS&amp;source=gbs_api","Abrir enlace")</f>
        <v>Abrir enlace</v>
      </c>
      <c r="Q244" s="2"/>
      <c r="R244" s="2"/>
      <c r="S244" s="2"/>
      <c r="T244" s="2"/>
      <c r="U244" s="2"/>
      <c r="V244" s="2"/>
      <c r="W244" s="2"/>
      <c r="X244" s="2"/>
      <c r="Y244" s="2"/>
      <c r="Z244" s="2"/>
      <c r="AA244" s="2" t="s">
        <v>46</v>
      </c>
      <c r="AB244" s="2" t="s">
        <v>67</v>
      </c>
      <c r="AC244" s="2"/>
      <c r="AD244" s="2"/>
      <c r="AE244" s="2"/>
    </row>
    <row r="245" ht="15.75" customHeight="1">
      <c r="A245" s="2">
        <v>245.0</v>
      </c>
      <c r="B245" s="2" t="s">
        <v>747</v>
      </c>
      <c r="C245" s="2"/>
      <c r="D245" s="2" t="s">
        <v>165</v>
      </c>
      <c r="E245" s="2" t="s">
        <v>64</v>
      </c>
      <c r="F245" s="3" t="s">
        <v>35</v>
      </c>
      <c r="G245" s="2"/>
      <c r="H245" s="2" t="s">
        <v>64</v>
      </c>
      <c r="I245" s="2" t="s">
        <v>36</v>
      </c>
      <c r="J245" s="2" t="s">
        <v>37</v>
      </c>
      <c r="K245" s="4" t="str">
        <f>HYPERLINK("https://archive.org/details/fourthreader00bailgoog","Abrir enlace")</f>
        <v>Abrir enlace</v>
      </c>
      <c r="L245" s="2" t="s">
        <v>748</v>
      </c>
      <c r="M245" s="2"/>
      <c r="N245" s="2" t="s">
        <v>54</v>
      </c>
      <c r="O245" s="2"/>
      <c r="P245" s="4" t="str">
        <f>HYPERLINK("https://archive.org/details/fourthreader00bailgoog","Abrir enlace")</f>
        <v>Abrir enlace</v>
      </c>
      <c r="Q245" s="2"/>
      <c r="R245" s="2"/>
      <c r="S245" s="2"/>
      <c r="T245" s="2"/>
      <c r="U245" s="2"/>
      <c r="V245" s="2"/>
      <c r="W245" s="2"/>
      <c r="X245" s="2"/>
      <c r="Y245" s="2"/>
      <c r="Z245" s="2"/>
      <c r="AA245" s="2" t="s">
        <v>66</v>
      </c>
      <c r="AB245" s="2" t="s">
        <v>67</v>
      </c>
      <c r="AC245" s="2"/>
      <c r="AD245" s="2"/>
      <c r="AE245" s="2"/>
    </row>
    <row r="246" ht="15.75" customHeight="1">
      <c r="A246" s="2">
        <v>246.0</v>
      </c>
      <c r="B246" s="2" t="s">
        <v>62</v>
      </c>
      <c r="C246" s="2" t="s">
        <v>536</v>
      </c>
      <c r="D246" s="2" t="s">
        <v>33</v>
      </c>
      <c r="E246" s="2" t="s">
        <v>64</v>
      </c>
      <c r="F246" s="3" t="s">
        <v>35</v>
      </c>
      <c r="G246" s="2"/>
      <c r="H246" s="2" t="s">
        <v>64</v>
      </c>
      <c r="I246" s="2" t="s">
        <v>36</v>
      </c>
      <c r="J246" s="2" t="s">
        <v>37</v>
      </c>
      <c r="K246" s="4" t="str">
        <f>HYPERLINK("http://books.google.com.mx/books?id=AJ5kxQEACAAJ&amp;dq=The+poetical+works+Longfellow,+Henry+Wadsworth&amp;hl=&amp;as_pt=BOOKS&amp;source=gbs_api","Abrir enlace")</f>
        <v>Abrir enlace</v>
      </c>
      <c r="L246" s="2" t="s">
        <v>749</v>
      </c>
      <c r="M246" s="2"/>
      <c r="N246" s="2" t="s">
        <v>39</v>
      </c>
      <c r="O246" s="2"/>
      <c r="P246" s="4" t="str">
        <f>HYPERLINK("http://books.google.com.mx/books?id=AJ5kxQEACAAJ&amp;dq=The+poetical+works+Longfellow,+Henry+Wadsworth&amp;hl=&amp;as_pt=BOOKS&amp;source=gbs_api","Abrir enlace")</f>
        <v>Abrir enlace</v>
      </c>
      <c r="Q246" s="2"/>
      <c r="R246" s="2"/>
      <c r="S246" s="2"/>
      <c r="T246" s="2"/>
      <c r="U246" s="2"/>
      <c r="V246" s="2"/>
      <c r="W246" s="2"/>
      <c r="X246" s="2"/>
      <c r="Y246" s="2"/>
      <c r="Z246" s="2"/>
      <c r="AA246" s="2" t="s">
        <v>66</v>
      </c>
      <c r="AB246" s="2" t="s">
        <v>67</v>
      </c>
      <c r="AC246" s="2"/>
      <c r="AD246" s="2"/>
      <c r="AE246" s="2"/>
    </row>
    <row r="247" ht="15.75" customHeight="1">
      <c r="A247" s="2">
        <v>247.0</v>
      </c>
      <c r="B247" s="2" t="s">
        <v>527</v>
      </c>
      <c r="C247" s="2" t="s">
        <v>750</v>
      </c>
      <c r="D247" s="2" t="s">
        <v>33</v>
      </c>
      <c r="E247" s="2" t="s">
        <v>64</v>
      </c>
      <c r="F247" s="2" t="s">
        <v>35</v>
      </c>
      <c r="G247" s="2"/>
      <c r="H247" s="2" t="s">
        <v>64</v>
      </c>
      <c r="I247" s="2" t="s">
        <v>36</v>
      </c>
      <c r="J247" s="2" t="s">
        <v>751</v>
      </c>
      <c r="K247" s="4" t="str">
        <f>HYPERLINK("https://www.gutenberg.org/files/66785/66785-h/66785-h.htm","Abrir enlace")</f>
        <v>Abrir enlace</v>
      </c>
      <c r="L247" s="2" t="s">
        <v>527</v>
      </c>
      <c r="M247" s="2" t="s">
        <v>750</v>
      </c>
      <c r="N247" s="2" t="s">
        <v>734</v>
      </c>
      <c r="O247" s="2" t="s">
        <v>92</v>
      </c>
      <c r="P247" s="4" t="str">
        <f>HYPERLINK("https://www.gutenberg.org/files/66785/66785-h/66785-h.htm","Abrir enlace")</f>
        <v>Abrir enlace</v>
      </c>
      <c r="Q247" s="2" t="s">
        <v>752</v>
      </c>
      <c r="R247" s="2"/>
      <c r="S247" s="2" t="s">
        <v>91</v>
      </c>
      <c r="T247" s="2" t="s">
        <v>753</v>
      </c>
      <c r="U247" s="4" t="str">
        <f>HYPERLINK("https://www.poemhunter.com/felicia-dorothea-hemans/poems/","Abrir enlace")</f>
        <v>Abrir enlace</v>
      </c>
      <c r="V247" s="2" t="s">
        <v>754</v>
      </c>
      <c r="W247" s="2"/>
      <c r="X247" s="2" t="s">
        <v>91</v>
      </c>
      <c r="Y247" s="2" t="s">
        <v>755</v>
      </c>
      <c r="Z247" s="4" t="str">
        <f>HYPERLINK("https://archive.org/details/poemsfeliciahem00hemagoog","Abrir enlace")</f>
        <v>Abrir enlace</v>
      </c>
      <c r="AA247" s="2"/>
      <c r="AB247" s="2"/>
      <c r="AC247" s="2"/>
      <c r="AD247" s="4" t="str">
        <f>HYPERLINK("https://www.gutenberg.org/files/66785/66785-h/66785-h.htm","Abrir enlace")</f>
        <v>Abrir enlace</v>
      </c>
      <c r="AE247" s="2" t="s">
        <v>756</v>
      </c>
    </row>
    <row r="248" ht="15.75" customHeight="1">
      <c r="A248" s="2">
        <v>248.0</v>
      </c>
      <c r="B248" s="2" t="s">
        <v>527</v>
      </c>
      <c r="C248" s="2" t="s">
        <v>750</v>
      </c>
      <c r="D248" s="2" t="s">
        <v>33</v>
      </c>
      <c r="E248" s="2" t="s">
        <v>64</v>
      </c>
      <c r="F248" s="2" t="s">
        <v>35</v>
      </c>
      <c r="G248" s="2"/>
      <c r="H248" s="2" t="s">
        <v>64</v>
      </c>
      <c r="I248" s="2" t="s">
        <v>36</v>
      </c>
      <c r="J248" s="2" t="s">
        <v>751</v>
      </c>
      <c r="K248" s="2" t="s">
        <v>757</v>
      </c>
      <c r="L248" s="2" t="s">
        <v>527</v>
      </c>
      <c r="M248" s="2" t="s">
        <v>750</v>
      </c>
      <c r="N248" s="2" t="s">
        <v>734</v>
      </c>
      <c r="O248" s="2" t="s">
        <v>92</v>
      </c>
      <c r="P248" s="2" t="s">
        <v>757</v>
      </c>
      <c r="Q248" s="2" t="s">
        <v>752</v>
      </c>
      <c r="R248" s="2"/>
      <c r="S248" s="2" t="s">
        <v>91</v>
      </c>
      <c r="T248" s="2" t="s">
        <v>753</v>
      </c>
      <c r="U248" s="2" t="s">
        <v>757</v>
      </c>
      <c r="V248" s="2" t="s">
        <v>754</v>
      </c>
      <c r="W248" s="2"/>
      <c r="X248" s="2" t="s">
        <v>91</v>
      </c>
      <c r="Y248" s="2" t="s">
        <v>755</v>
      </c>
      <c r="Z248" s="2" t="s">
        <v>757</v>
      </c>
      <c r="AA248" s="2"/>
      <c r="AB248" s="2"/>
      <c r="AC248" s="2"/>
      <c r="AD248" s="2" t="s">
        <v>757</v>
      </c>
      <c r="AE248" s="2" t="s">
        <v>756</v>
      </c>
    </row>
    <row r="249" ht="15.75" customHeight="1">
      <c r="A249" s="2">
        <v>249.0</v>
      </c>
      <c r="B249" s="2" t="s">
        <v>527</v>
      </c>
      <c r="C249" s="2" t="s">
        <v>750</v>
      </c>
      <c r="D249" s="2" t="s">
        <v>33</v>
      </c>
      <c r="E249" s="2" t="s">
        <v>64</v>
      </c>
      <c r="F249" s="2" t="s">
        <v>35</v>
      </c>
      <c r="G249" s="2"/>
      <c r="H249" s="2" t="s">
        <v>64</v>
      </c>
      <c r="I249" s="2" t="s">
        <v>36</v>
      </c>
      <c r="J249" s="2" t="s">
        <v>751</v>
      </c>
      <c r="K249" s="2" t="s">
        <v>757</v>
      </c>
      <c r="L249" s="2" t="s">
        <v>527</v>
      </c>
      <c r="M249" s="2" t="s">
        <v>750</v>
      </c>
      <c r="N249" s="2" t="s">
        <v>734</v>
      </c>
      <c r="O249" s="2" t="s">
        <v>92</v>
      </c>
      <c r="P249" s="2" t="s">
        <v>757</v>
      </c>
      <c r="Q249" s="2" t="s">
        <v>752</v>
      </c>
      <c r="R249" s="2"/>
      <c r="S249" s="2" t="s">
        <v>91</v>
      </c>
      <c r="T249" s="2" t="s">
        <v>753</v>
      </c>
      <c r="U249" s="2" t="s">
        <v>757</v>
      </c>
      <c r="V249" s="2" t="s">
        <v>754</v>
      </c>
      <c r="W249" s="2"/>
      <c r="X249" s="2" t="s">
        <v>91</v>
      </c>
      <c r="Y249" s="2" t="s">
        <v>755</v>
      </c>
      <c r="Z249" s="2" t="s">
        <v>757</v>
      </c>
      <c r="AA249" s="2"/>
      <c r="AB249" s="2"/>
      <c r="AC249" s="2"/>
      <c r="AD249" s="2" t="s">
        <v>757</v>
      </c>
      <c r="AE249" s="2" t="s">
        <v>756</v>
      </c>
    </row>
    <row r="250" ht="15.75" customHeight="1">
      <c r="A250" s="2">
        <v>250.0</v>
      </c>
      <c r="B250" s="2" t="s">
        <v>527</v>
      </c>
      <c r="C250" s="2" t="s">
        <v>750</v>
      </c>
      <c r="D250" s="2" t="s">
        <v>33</v>
      </c>
      <c r="E250" s="2" t="s">
        <v>64</v>
      </c>
      <c r="F250" s="2" t="s">
        <v>35</v>
      </c>
      <c r="G250" s="2"/>
      <c r="H250" s="2" t="s">
        <v>64</v>
      </c>
      <c r="I250" s="2" t="s">
        <v>36</v>
      </c>
      <c r="J250" s="2" t="s">
        <v>751</v>
      </c>
      <c r="K250" s="2" t="s">
        <v>757</v>
      </c>
      <c r="L250" s="2" t="s">
        <v>527</v>
      </c>
      <c r="M250" s="2" t="s">
        <v>750</v>
      </c>
      <c r="N250" s="2" t="s">
        <v>734</v>
      </c>
      <c r="O250" s="2" t="s">
        <v>92</v>
      </c>
      <c r="P250" s="2" t="s">
        <v>757</v>
      </c>
      <c r="Q250" s="2" t="s">
        <v>752</v>
      </c>
      <c r="R250" s="2"/>
      <c r="S250" s="2" t="s">
        <v>91</v>
      </c>
      <c r="T250" s="2" t="s">
        <v>753</v>
      </c>
      <c r="U250" s="2" t="s">
        <v>757</v>
      </c>
      <c r="V250" s="2" t="s">
        <v>754</v>
      </c>
      <c r="W250" s="2"/>
      <c r="X250" s="2" t="s">
        <v>91</v>
      </c>
      <c r="Y250" s="2" t="s">
        <v>755</v>
      </c>
      <c r="Z250" s="2" t="s">
        <v>757</v>
      </c>
      <c r="AA250" s="2"/>
      <c r="AB250" s="2"/>
      <c r="AC250" s="2"/>
      <c r="AD250" s="2" t="s">
        <v>757</v>
      </c>
      <c r="AE250" s="2" t="s">
        <v>756</v>
      </c>
    </row>
    <row r="251" ht="15.75" customHeight="1">
      <c r="A251" s="2">
        <v>251.0</v>
      </c>
      <c r="B251" s="2" t="s">
        <v>527</v>
      </c>
      <c r="C251" s="2" t="s">
        <v>750</v>
      </c>
      <c r="D251" s="2" t="s">
        <v>33</v>
      </c>
      <c r="E251" s="2" t="s">
        <v>64</v>
      </c>
      <c r="F251" s="2" t="s">
        <v>35</v>
      </c>
      <c r="G251" s="2"/>
      <c r="H251" s="2" t="s">
        <v>64</v>
      </c>
      <c r="I251" s="2" t="s">
        <v>36</v>
      </c>
      <c r="J251" s="2" t="s">
        <v>751</v>
      </c>
      <c r="K251" s="2" t="s">
        <v>757</v>
      </c>
      <c r="L251" s="2" t="s">
        <v>527</v>
      </c>
      <c r="M251" s="2" t="s">
        <v>750</v>
      </c>
      <c r="N251" s="2" t="s">
        <v>734</v>
      </c>
      <c r="O251" s="2" t="s">
        <v>92</v>
      </c>
      <c r="P251" s="2" t="s">
        <v>757</v>
      </c>
      <c r="Q251" s="2" t="s">
        <v>752</v>
      </c>
      <c r="R251" s="2"/>
      <c r="S251" s="2" t="s">
        <v>91</v>
      </c>
      <c r="T251" s="2" t="s">
        <v>753</v>
      </c>
      <c r="U251" s="2" t="s">
        <v>757</v>
      </c>
      <c r="V251" s="2" t="s">
        <v>754</v>
      </c>
      <c r="W251" s="2"/>
      <c r="X251" s="2" t="s">
        <v>91</v>
      </c>
      <c r="Y251" s="2" t="s">
        <v>755</v>
      </c>
      <c r="Z251" s="2" t="s">
        <v>757</v>
      </c>
      <c r="AA251" s="2"/>
      <c r="AB251" s="2"/>
      <c r="AC251" s="2"/>
      <c r="AD251" s="2" t="s">
        <v>757</v>
      </c>
      <c r="AE251" s="2" t="s">
        <v>756</v>
      </c>
    </row>
    <row r="252" ht="15.75" customHeight="1">
      <c r="A252" s="2">
        <v>252.0</v>
      </c>
      <c r="B252" s="2" t="s">
        <v>527</v>
      </c>
      <c r="C252" s="2" t="s">
        <v>750</v>
      </c>
      <c r="D252" s="2" t="s">
        <v>33</v>
      </c>
      <c r="E252" s="2" t="s">
        <v>64</v>
      </c>
      <c r="F252" s="2" t="s">
        <v>35</v>
      </c>
      <c r="G252" s="2"/>
      <c r="H252" s="2" t="s">
        <v>64</v>
      </c>
      <c r="I252" s="2" t="s">
        <v>36</v>
      </c>
      <c r="J252" s="2" t="s">
        <v>751</v>
      </c>
      <c r="K252" s="2" t="s">
        <v>757</v>
      </c>
      <c r="L252" s="2" t="s">
        <v>527</v>
      </c>
      <c r="M252" s="2" t="s">
        <v>750</v>
      </c>
      <c r="N252" s="2" t="s">
        <v>734</v>
      </c>
      <c r="O252" s="2" t="s">
        <v>92</v>
      </c>
      <c r="P252" s="2" t="s">
        <v>757</v>
      </c>
      <c r="Q252" s="2" t="s">
        <v>752</v>
      </c>
      <c r="R252" s="2"/>
      <c r="S252" s="2" t="s">
        <v>91</v>
      </c>
      <c r="T252" s="2" t="s">
        <v>753</v>
      </c>
      <c r="U252" s="2" t="s">
        <v>757</v>
      </c>
      <c r="V252" s="2" t="s">
        <v>754</v>
      </c>
      <c r="W252" s="2"/>
      <c r="X252" s="2" t="s">
        <v>91</v>
      </c>
      <c r="Y252" s="2" t="s">
        <v>755</v>
      </c>
      <c r="Z252" s="2" t="s">
        <v>757</v>
      </c>
      <c r="AA252" s="2"/>
      <c r="AB252" s="2"/>
      <c r="AC252" s="2"/>
      <c r="AD252" s="2" t="s">
        <v>757</v>
      </c>
      <c r="AE252" s="2" t="s">
        <v>756</v>
      </c>
    </row>
    <row r="253" ht="15.75" customHeight="1">
      <c r="A253" s="2">
        <v>253.0</v>
      </c>
      <c r="B253" s="2" t="s">
        <v>758</v>
      </c>
      <c r="C253" s="2" t="s">
        <v>759</v>
      </c>
      <c r="D253" s="2" t="s">
        <v>33</v>
      </c>
      <c r="E253" s="2" t="s">
        <v>64</v>
      </c>
      <c r="F253" s="3" t="s">
        <v>35</v>
      </c>
      <c r="G253" s="2"/>
      <c r="H253" s="2" t="s">
        <v>64</v>
      </c>
      <c r="I253" s="2" t="s">
        <v>36</v>
      </c>
      <c r="J253" s="2" t="s">
        <v>37</v>
      </c>
      <c r="K253" s="4" t="str">
        <f>HYPERLINK("http://books.google.com.mx/books?id=XLuTOauP3REC&amp;dq=Homeri+odyssea+Homeri&amp;hl=&amp;as_pt=BOOKS&amp;source=gbs_api","Abrir enlace")</f>
        <v>Abrir enlace</v>
      </c>
      <c r="L253" s="2" t="s">
        <v>760</v>
      </c>
      <c r="M253" s="2"/>
      <c r="N253" s="2" t="s">
        <v>39</v>
      </c>
      <c r="O253" s="2"/>
      <c r="P253" s="4" t="str">
        <f>HYPERLINK("http://books.google.com.mx/books?id=XLuTOauP3REC&amp;dq=Homeri+odyssea+Homeri&amp;hl=&amp;as_pt=BOOKS&amp;source=gbs_api","Abrir enlace")</f>
        <v>Abrir enlace</v>
      </c>
      <c r="Q253" s="2"/>
      <c r="R253" s="2"/>
      <c r="S253" s="2"/>
      <c r="T253" s="2"/>
      <c r="U253" s="2"/>
      <c r="V253" s="2"/>
      <c r="W253" s="2"/>
      <c r="X253" s="2"/>
      <c r="Y253" s="2"/>
      <c r="Z253" s="2"/>
      <c r="AA253" s="2" t="s">
        <v>46</v>
      </c>
      <c r="AB253" s="2" t="s">
        <v>67</v>
      </c>
      <c r="AC253" s="2"/>
      <c r="AD253" s="2"/>
      <c r="AE253" s="2"/>
    </row>
    <row r="254" ht="15.75" customHeight="1">
      <c r="A254" s="2">
        <v>254.0</v>
      </c>
      <c r="B254" s="2" t="s">
        <v>761</v>
      </c>
      <c r="C254" s="2" t="s">
        <v>762</v>
      </c>
      <c r="D254" s="2" t="s">
        <v>33</v>
      </c>
      <c r="E254" s="2" t="s">
        <v>70</v>
      </c>
      <c r="F254" s="3" t="s">
        <v>35</v>
      </c>
      <c r="G254" s="2"/>
      <c r="H254" s="2" t="s">
        <v>70</v>
      </c>
      <c r="I254" s="2" t="s">
        <v>36</v>
      </c>
      <c r="J254" s="2" t="s">
        <v>37</v>
      </c>
      <c r="K254" s="4" t="str">
        <f>HYPERLINK("https://archive.org/details/elementsexperim01haregoog","Abrir enlace")</f>
        <v>Abrir enlace</v>
      </c>
      <c r="L254" s="2" t="s">
        <v>763</v>
      </c>
      <c r="M254" s="2"/>
      <c r="N254" s="2" t="s">
        <v>54</v>
      </c>
      <c r="O254" s="2"/>
      <c r="P254" s="4" t="str">
        <f>HYPERLINK("https://archive.org/details/elementsexperim01haregoog","Abrir enlace")</f>
        <v>Abrir enlace</v>
      </c>
      <c r="Q254" s="2"/>
      <c r="R254" s="2"/>
      <c r="S254" s="2"/>
      <c r="T254" s="2"/>
      <c r="U254" s="2"/>
      <c r="V254" s="2"/>
      <c r="W254" s="2"/>
      <c r="X254" s="2"/>
      <c r="Y254" s="2"/>
      <c r="Z254" s="2"/>
      <c r="AA254" s="2" t="s">
        <v>66</v>
      </c>
      <c r="AB254" s="2" t="s">
        <v>72</v>
      </c>
      <c r="AC254" s="2"/>
      <c r="AD254" s="2"/>
      <c r="AE254" s="2"/>
    </row>
    <row r="255" ht="15.75" customHeight="1">
      <c r="A255" s="2">
        <v>255.0</v>
      </c>
      <c r="B255" s="2" t="s">
        <v>764</v>
      </c>
      <c r="C255" s="2" t="s">
        <v>765</v>
      </c>
      <c r="D255" s="2" t="s">
        <v>33</v>
      </c>
      <c r="E255" s="2" t="s">
        <v>64</v>
      </c>
      <c r="F255" s="2" t="s">
        <v>35</v>
      </c>
      <c r="G255" s="2"/>
      <c r="H255" s="2" t="s">
        <v>64</v>
      </c>
      <c r="I255" s="2" t="s">
        <v>36</v>
      </c>
      <c r="J255" s="2" t="s">
        <v>766</v>
      </c>
      <c r="K255" s="4" t="str">
        <f>HYPERLINK("https://www.homemdoslivros.com/2014/03/nova-gramatica.html","Abrir enlace")</f>
        <v>Abrir enlace</v>
      </c>
      <c r="L255" s="2" t="s">
        <v>764</v>
      </c>
      <c r="M255" s="2" t="s">
        <v>765</v>
      </c>
      <c r="N255" s="2" t="s">
        <v>734</v>
      </c>
      <c r="O255" s="2" t="s">
        <v>735</v>
      </c>
      <c r="P255" s="4" t="str">
        <f>HYPERLINK("https://www.homemdoslivros.com/2014/03/nova-gramatica.html","Abrir enlace")</f>
        <v>Abrir enlace</v>
      </c>
      <c r="Q255" s="2" t="s">
        <v>767</v>
      </c>
      <c r="R255" s="2"/>
      <c r="S255" s="2" t="s">
        <v>91</v>
      </c>
      <c r="T255" s="2" t="s">
        <v>768</v>
      </c>
      <c r="U255" s="4" t="str">
        <f>HYPERLINK("https://livrariacandelabro.com/produto/abbadie-d-joao-maria-n-a-nova-grammatica/","Abrir enlace")</f>
        <v>Abrir enlace</v>
      </c>
      <c r="V255" s="2" t="s">
        <v>769</v>
      </c>
      <c r="W255" s="2"/>
      <c r="X255" s="2" t="s">
        <v>91</v>
      </c>
      <c r="Y255" s="2" t="s">
        <v>770</v>
      </c>
      <c r="Z255" s="4" t="str">
        <f>HYPERLINK("https://www.bestnetleiloes.com/pt/leiloes/livros-690/nova-gramatica-para-aprender-a-traduzir-fallar-e-escrever-a-lingua-franceza-1790-136477","Abrir enlace")</f>
        <v>Abrir enlace</v>
      </c>
      <c r="AA255" s="2"/>
      <c r="AB255" s="2"/>
      <c r="AC255" s="2"/>
      <c r="AD255" s="4" t="str">
        <f>HYPERLINK("https://www.homemdoslivros.com/2014/03/nova-gramatica.html","Abrir enlace")</f>
        <v>Abrir enlace</v>
      </c>
      <c r="AE255" s="2" t="s">
        <v>771</v>
      </c>
    </row>
    <row r="256" ht="15.75" customHeight="1">
      <c r="A256" s="2">
        <v>256.0</v>
      </c>
      <c r="B256" s="2" t="s">
        <v>772</v>
      </c>
      <c r="C256" s="2" t="s">
        <v>773</v>
      </c>
      <c r="D256" s="2" t="s">
        <v>33</v>
      </c>
      <c r="E256" s="2" t="s">
        <v>34</v>
      </c>
      <c r="F256" s="2" t="s">
        <v>174</v>
      </c>
      <c r="G256" s="2" t="s">
        <v>774</v>
      </c>
      <c r="H256" s="2" t="s">
        <v>34</v>
      </c>
      <c r="I256" s="2" t="s">
        <v>36</v>
      </c>
      <c r="J256" s="2" t="s">
        <v>775</v>
      </c>
      <c r="K256" s="4" t="str">
        <f t="shared" ref="K256:K260" si="27">HYPERLINK("https://archive.org/details/historypopesfro04pastgoog","Abrir enlace")</f>
        <v>Abrir enlace</v>
      </c>
      <c r="L256" s="2" t="s">
        <v>772</v>
      </c>
      <c r="M256" s="2"/>
      <c r="N256" s="2" t="s">
        <v>54</v>
      </c>
      <c r="O256" s="2"/>
      <c r="P256" s="4" t="str">
        <f t="shared" ref="P256:P260" si="28">HYPERLINK("https://archive.org/details/historypopesfro04pastgoog","Abrir enlace")</f>
        <v>Abrir enlace</v>
      </c>
      <c r="Q256" s="2"/>
      <c r="R256" s="2"/>
      <c r="S256" s="2"/>
      <c r="T256" s="2"/>
      <c r="U256" s="2"/>
      <c r="V256" s="2"/>
      <c r="W256" s="2"/>
      <c r="X256" s="2"/>
      <c r="Y256" s="2"/>
      <c r="Z256" s="2"/>
      <c r="AA256" s="2" t="s">
        <v>66</v>
      </c>
      <c r="AB256" s="2" t="s">
        <v>776</v>
      </c>
      <c r="AC256" s="2" t="s">
        <v>774</v>
      </c>
      <c r="AD256" s="2"/>
      <c r="AE256" s="2"/>
    </row>
    <row r="257" ht="15.75" customHeight="1">
      <c r="A257" s="2">
        <v>257.0</v>
      </c>
      <c r="B257" s="2" t="s">
        <v>772</v>
      </c>
      <c r="C257" s="2" t="s">
        <v>773</v>
      </c>
      <c r="D257" s="2" t="s">
        <v>33</v>
      </c>
      <c r="E257" s="2" t="s">
        <v>34</v>
      </c>
      <c r="F257" s="2" t="s">
        <v>174</v>
      </c>
      <c r="G257" s="2" t="s">
        <v>774</v>
      </c>
      <c r="H257" s="2" t="s">
        <v>112</v>
      </c>
      <c r="I257" s="2" t="s">
        <v>36</v>
      </c>
      <c r="J257" s="2" t="s">
        <v>37</v>
      </c>
      <c r="K257" s="4" t="str">
        <f t="shared" si="27"/>
        <v>Abrir enlace</v>
      </c>
      <c r="L257" s="2" t="s">
        <v>772</v>
      </c>
      <c r="M257" s="2"/>
      <c r="N257" s="2" t="s">
        <v>54</v>
      </c>
      <c r="O257" s="2"/>
      <c r="P257" s="4" t="str">
        <f t="shared" si="28"/>
        <v>Abrir enlace</v>
      </c>
      <c r="Q257" s="2"/>
      <c r="R257" s="2"/>
      <c r="S257" s="2"/>
      <c r="T257" s="2"/>
      <c r="U257" s="2"/>
      <c r="V257" s="2"/>
      <c r="W257" s="2"/>
      <c r="X257" s="2"/>
      <c r="Y257" s="2"/>
      <c r="Z257" s="2"/>
      <c r="AA257" s="2" t="s">
        <v>66</v>
      </c>
      <c r="AB257" s="2" t="s">
        <v>114</v>
      </c>
      <c r="AC257" s="2" t="s">
        <v>774</v>
      </c>
      <c r="AD257" s="2"/>
      <c r="AE257" s="2"/>
    </row>
    <row r="258" ht="15.75" customHeight="1">
      <c r="A258" s="2">
        <v>258.0</v>
      </c>
      <c r="B258" s="2" t="s">
        <v>772</v>
      </c>
      <c r="C258" s="2" t="s">
        <v>773</v>
      </c>
      <c r="D258" s="2" t="s">
        <v>33</v>
      </c>
      <c r="E258" s="2" t="s">
        <v>34</v>
      </c>
      <c r="F258" s="2" t="s">
        <v>174</v>
      </c>
      <c r="G258" s="2" t="s">
        <v>774</v>
      </c>
      <c r="H258" s="2" t="s">
        <v>112</v>
      </c>
      <c r="I258" s="2" t="s">
        <v>36</v>
      </c>
      <c r="J258" s="2" t="s">
        <v>37</v>
      </c>
      <c r="K258" s="4" t="str">
        <f t="shared" si="27"/>
        <v>Abrir enlace</v>
      </c>
      <c r="L258" s="2" t="s">
        <v>772</v>
      </c>
      <c r="M258" s="2"/>
      <c r="N258" s="2" t="s">
        <v>54</v>
      </c>
      <c r="O258" s="2"/>
      <c r="P258" s="4" t="str">
        <f t="shared" si="28"/>
        <v>Abrir enlace</v>
      </c>
      <c r="Q258" s="2"/>
      <c r="R258" s="2"/>
      <c r="S258" s="2"/>
      <c r="T258" s="2"/>
      <c r="U258" s="2"/>
      <c r="V258" s="2"/>
      <c r="W258" s="2"/>
      <c r="X258" s="2"/>
      <c r="Y258" s="2"/>
      <c r="Z258" s="2"/>
      <c r="AA258" s="2" t="s">
        <v>66</v>
      </c>
      <c r="AB258" s="2" t="s">
        <v>114</v>
      </c>
      <c r="AC258" s="2" t="s">
        <v>774</v>
      </c>
      <c r="AD258" s="2"/>
      <c r="AE258" s="2"/>
    </row>
    <row r="259" ht="15.75" customHeight="1">
      <c r="A259" s="2">
        <v>259.0</v>
      </c>
      <c r="B259" s="2" t="s">
        <v>772</v>
      </c>
      <c r="C259" s="2" t="s">
        <v>773</v>
      </c>
      <c r="D259" s="2" t="s">
        <v>33</v>
      </c>
      <c r="E259" s="2" t="s">
        <v>34</v>
      </c>
      <c r="F259" s="2" t="s">
        <v>174</v>
      </c>
      <c r="G259" s="2" t="s">
        <v>774</v>
      </c>
      <c r="H259" s="2" t="s">
        <v>112</v>
      </c>
      <c r="I259" s="2" t="s">
        <v>36</v>
      </c>
      <c r="J259" s="2" t="s">
        <v>37</v>
      </c>
      <c r="K259" s="4" t="str">
        <f t="shared" si="27"/>
        <v>Abrir enlace</v>
      </c>
      <c r="L259" s="2" t="s">
        <v>772</v>
      </c>
      <c r="M259" s="2"/>
      <c r="N259" s="2" t="s">
        <v>54</v>
      </c>
      <c r="O259" s="2"/>
      <c r="P259" s="4" t="str">
        <f t="shared" si="28"/>
        <v>Abrir enlace</v>
      </c>
      <c r="Q259" s="2"/>
      <c r="R259" s="2"/>
      <c r="S259" s="2"/>
      <c r="T259" s="2"/>
      <c r="U259" s="2"/>
      <c r="V259" s="2"/>
      <c r="W259" s="2"/>
      <c r="X259" s="2"/>
      <c r="Y259" s="2"/>
      <c r="Z259" s="2"/>
      <c r="AA259" s="2" t="s">
        <v>66</v>
      </c>
      <c r="AB259" s="2" t="s">
        <v>114</v>
      </c>
      <c r="AC259" s="2" t="s">
        <v>774</v>
      </c>
      <c r="AD259" s="2"/>
      <c r="AE259" s="2"/>
    </row>
    <row r="260" ht="15.75" customHeight="1">
      <c r="A260" s="2">
        <v>260.0</v>
      </c>
      <c r="B260" s="2" t="s">
        <v>772</v>
      </c>
      <c r="C260" s="2" t="s">
        <v>773</v>
      </c>
      <c r="D260" s="2" t="s">
        <v>33</v>
      </c>
      <c r="E260" s="2" t="s">
        <v>34</v>
      </c>
      <c r="F260" s="2" t="s">
        <v>174</v>
      </c>
      <c r="G260" s="2" t="s">
        <v>774</v>
      </c>
      <c r="H260" s="2" t="s">
        <v>112</v>
      </c>
      <c r="I260" s="2" t="s">
        <v>36</v>
      </c>
      <c r="J260" s="2" t="s">
        <v>37</v>
      </c>
      <c r="K260" s="4" t="str">
        <f t="shared" si="27"/>
        <v>Abrir enlace</v>
      </c>
      <c r="L260" s="2" t="s">
        <v>772</v>
      </c>
      <c r="M260" s="2"/>
      <c r="N260" s="2" t="s">
        <v>54</v>
      </c>
      <c r="O260" s="2"/>
      <c r="P260" s="4" t="str">
        <f t="shared" si="28"/>
        <v>Abrir enlace</v>
      </c>
      <c r="Q260" s="2"/>
      <c r="R260" s="2"/>
      <c r="S260" s="2"/>
      <c r="T260" s="2"/>
      <c r="U260" s="2"/>
      <c r="V260" s="2"/>
      <c r="W260" s="2"/>
      <c r="X260" s="2"/>
      <c r="Y260" s="2"/>
      <c r="Z260" s="2"/>
      <c r="AA260" s="2" t="s">
        <v>66</v>
      </c>
      <c r="AB260" s="2" t="s">
        <v>114</v>
      </c>
      <c r="AC260" s="2" t="s">
        <v>774</v>
      </c>
      <c r="AD260" s="2"/>
      <c r="AE260" s="2"/>
    </row>
    <row r="261" ht="15.75" customHeight="1">
      <c r="A261" s="2">
        <v>261.0</v>
      </c>
      <c r="B261" s="2" t="s">
        <v>777</v>
      </c>
      <c r="C261" s="2" t="s">
        <v>778</v>
      </c>
      <c r="D261" s="2" t="s">
        <v>33</v>
      </c>
      <c r="E261" s="2" t="s">
        <v>70</v>
      </c>
      <c r="F261" s="3" t="s">
        <v>35</v>
      </c>
      <c r="G261" s="2"/>
      <c r="H261" s="2" t="s">
        <v>70</v>
      </c>
      <c r="I261" s="2" t="s">
        <v>36</v>
      </c>
      <c r="J261" s="2" t="s">
        <v>779</v>
      </c>
      <c r="K261" s="4" t="str">
        <f t="shared" ref="K261:K262" si="29">HYPERLINK("https://openlibrary.org/works/OL44054726W","Abrir enlace")</f>
        <v>Abrir enlace</v>
      </c>
      <c r="L261" s="2" t="s">
        <v>780</v>
      </c>
      <c r="M261" s="2"/>
      <c r="N261" s="2" t="s">
        <v>45</v>
      </c>
      <c r="O261" s="2"/>
      <c r="P261" s="4" t="str">
        <f t="shared" ref="P261:P262" si="30">HYPERLINK("https://openlibrary.org/works/OL44054726W","Abrir enlace")</f>
        <v>Abrir enlace</v>
      </c>
      <c r="Q261" s="2"/>
      <c r="R261" s="2"/>
      <c r="S261" s="2"/>
      <c r="T261" s="2"/>
      <c r="U261" s="2"/>
      <c r="V261" s="2"/>
      <c r="W261" s="2"/>
      <c r="X261" s="2"/>
      <c r="Y261" s="2"/>
      <c r="Z261" s="2"/>
      <c r="AA261" s="2" t="s">
        <v>40</v>
      </c>
      <c r="AB261" s="2" t="s">
        <v>781</v>
      </c>
      <c r="AC261" s="2"/>
      <c r="AD261" s="2"/>
      <c r="AE261" s="2"/>
    </row>
    <row r="262" ht="15.75" customHeight="1">
      <c r="A262" s="2">
        <v>262.0</v>
      </c>
      <c r="B262" s="2" t="s">
        <v>777</v>
      </c>
      <c r="C262" s="2" t="s">
        <v>778</v>
      </c>
      <c r="D262" s="2" t="s">
        <v>33</v>
      </c>
      <c r="E262" s="2" t="s">
        <v>70</v>
      </c>
      <c r="F262" s="2" t="s">
        <v>174</v>
      </c>
      <c r="G262" s="2" t="s">
        <v>782</v>
      </c>
      <c r="H262" s="2" t="s">
        <v>64</v>
      </c>
      <c r="I262" s="2" t="s">
        <v>36</v>
      </c>
      <c r="J262" s="2" t="s">
        <v>37</v>
      </c>
      <c r="K262" s="4" t="str">
        <f t="shared" si="29"/>
        <v>Abrir enlace</v>
      </c>
      <c r="L262" s="2" t="s">
        <v>780</v>
      </c>
      <c r="M262" s="2"/>
      <c r="N262" s="2" t="s">
        <v>45</v>
      </c>
      <c r="O262" s="2"/>
      <c r="P262" s="4" t="str">
        <f t="shared" si="30"/>
        <v>Abrir enlace</v>
      </c>
      <c r="Q262" s="2"/>
      <c r="R262" s="2"/>
      <c r="S262" s="2"/>
      <c r="T262" s="2"/>
      <c r="U262" s="2"/>
      <c r="V262" s="2"/>
      <c r="W262" s="2"/>
      <c r="X262" s="2"/>
      <c r="Y262" s="2"/>
      <c r="Z262" s="2"/>
      <c r="AA262" s="2" t="s">
        <v>40</v>
      </c>
      <c r="AB262" s="2" t="s">
        <v>67</v>
      </c>
      <c r="AC262" s="2" t="s">
        <v>782</v>
      </c>
      <c r="AD262" s="2"/>
      <c r="AE262" s="2"/>
    </row>
    <row r="263" ht="15.75" customHeight="1">
      <c r="A263" s="2">
        <v>263.0</v>
      </c>
      <c r="B263" s="2" t="s">
        <v>783</v>
      </c>
      <c r="C263" s="2" t="s">
        <v>784</v>
      </c>
      <c r="D263" s="2" t="s">
        <v>33</v>
      </c>
      <c r="E263" s="2" t="s">
        <v>34</v>
      </c>
      <c r="F263" s="3" t="s">
        <v>35</v>
      </c>
      <c r="G263" s="2"/>
      <c r="H263" s="2" t="s">
        <v>34</v>
      </c>
      <c r="I263" s="2" t="s">
        <v>36</v>
      </c>
      <c r="J263" s="2" t="s">
        <v>785</v>
      </c>
      <c r="K263" s="4" t="str">
        <f>HYPERLINK("https://openlibrary.org/works/OL44000329W","Abrir enlace")</f>
        <v>Abrir enlace</v>
      </c>
      <c r="L263" s="2" t="s">
        <v>786</v>
      </c>
      <c r="M263" s="2"/>
      <c r="N263" s="2" t="s">
        <v>45</v>
      </c>
      <c r="O263" s="2"/>
      <c r="P263" s="4" t="str">
        <f>HYPERLINK("https://openlibrary.org/works/OL44000329W","Abrir enlace")</f>
        <v>Abrir enlace</v>
      </c>
      <c r="Q263" s="2"/>
      <c r="R263" s="2"/>
      <c r="S263" s="2"/>
      <c r="T263" s="2"/>
      <c r="U263" s="2"/>
      <c r="V263" s="2"/>
      <c r="W263" s="2"/>
      <c r="X263" s="2"/>
      <c r="Y263" s="2"/>
      <c r="Z263" s="2"/>
      <c r="AA263" s="2" t="s">
        <v>60</v>
      </c>
      <c r="AB263" s="2" t="s">
        <v>787</v>
      </c>
      <c r="AC263" s="2"/>
      <c r="AD263" s="2"/>
      <c r="AE263" s="2"/>
    </row>
    <row r="264" ht="15.75" customHeight="1">
      <c r="A264" s="2">
        <v>264.0</v>
      </c>
      <c r="B264" s="2" t="s">
        <v>788</v>
      </c>
      <c r="C264" s="2" t="s">
        <v>789</v>
      </c>
      <c r="D264" s="2" t="s">
        <v>33</v>
      </c>
      <c r="E264" s="2" t="s">
        <v>34</v>
      </c>
      <c r="F264" s="3" t="s">
        <v>35</v>
      </c>
      <c r="G264" s="2"/>
      <c r="H264" s="2" t="s">
        <v>34</v>
      </c>
      <c r="I264" s="2" t="s">
        <v>36</v>
      </c>
      <c r="J264" s="2" t="s">
        <v>790</v>
      </c>
      <c r="K264" s="4" t="str">
        <f>HYPERLINK("https://openlibrary.org/works/OL37639715W","Abrir enlace")</f>
        <v>Abrir enlace</v>
      </c>
      <c r="L264" s="2" t="s">
        <v>791</v>
      </c>
      <c r="M264" s="2"/>
      <c r="N264" s="2" t="s">
        <v>45</v>
      </c>
      <c r="O264" s="2"/>
      <c r="P264" s="4" t="str">
        <f>HYPERLINK("https://openlibrary.org/works/OL37639715W","Abrir enlace")</f>
        <v>Abrir enlace</v>
      </c>
      <c r="Q264" s="2"/>
      <c r="R264" s="2"/>
      <c r="S264" s="2"/>
      <c r="T264" s="2"/>
      <c r="U264" s="2"/>
      <c r="V264" s="2"/>
      <c r="W264" s="2"/>
      <c r="X264" s="2"/>
      <c r="Y264" s="2"/>
      <c r="Z264" s="2"/>
      <c r="AA264" s="2" t="s">
        <v>51</v>
      </c>
      <c r="AB264" s="2" t="s">
        <v>792</v>
      </c>
      <c r="AC264" s="2"/>
      <c r="AD264" s="2"/>
      <c r="AE264" s="2"/>
    </row>
    <row r="265" ht="15.75" customHeight="1">
      <c r="A265" s="2">
        <v>265.0</v>
      </c>
      <c r="B265" s="2" t="s">
        <v>793</v>
      </c>
      <c r="C265" s="2" t="s">
        <v>794</v>
      </c>
      <c r="D265" s="2" t="s">
        <v>33</v>
      </c>
      <c r="E265" s="2" t="s">
        <v>34</v>
      </c>
      <c r="F265" s="3" t="s">
        <v>35</v>
      </c>
      <c r="G265" s="2"/>
      <c r="H265" s="2" t="s">
        <v>34</v>
      </c>
      <c r="I265" s="2" t="s">
        <v>36</v>
      </c>
      <c r="J265" s="2" t="s">
        <v>795</v>
      </c>
      <c r="K265" s="4" t="str">
        <f>HYPERLINK("https://openlibrary.org/works/OL33122525W","Abrir enlace")</f>
        <v>Abrir enlace</v>
      </c>
      <c r="L265" s="2" t="s">
        <v>796</v>
      </c>
      <c r="M265" s="2"/>
      <c r="N265" s="2" t="s">
        <v>45</v>
      </c>
      <c r="O265" s="2"/>
      <c r="P265" s="4" t="str">
        <f>HYPERLINK("https://openlibrary.org/works/OL33122525W","Abrir enlace")</f>
        <v>Abrir enlace</v>
      </c>
      <c r="Q265" s="2"/>
      <c r="R265" s="2"/>
      <c r="S265" s="2"/>
      <c r="T265" s="2"/>
      <c r="U265" s="2"/>
      <c r="V265" s="2"/>
      <c r="W265" s="2"/>
      <c r="X265" s="2"/>
      <c r="Y265" s="2"/>
      <c r="Z265" s="2"/>
      <c r="AA265" s="2" t="s">
        <v>51</v>
      </c>
      <c r="AB265" s="2" t="s">
        <v>343</v>
      </c>
      <c r="AC265" s="2"/>
      <c r="AD265" s="2"/>
      <c r="AE265" s="2"/>
    </row>
    <row r="266" ht="15.75" customHeight="1">
      <c r="A266" s="2">
        <v>266.0</v>
      </c>
      <c r="B266" s="2" t="s">
        <v>797</v>
      </c>
      <c r="C266" s="2" t="s">
        <v>798</v>
      </c>
      <c r="D266" s="2" t="s">
        <v>33</v>
      </c>
      <c r="E266" s="2" t="s">
        <v>34</v>
      </c>
      <c r="F266" s="3" t="s">
        <v>35</v>
      </c>
      <c r="G266" s="2"/>
      <c r="H266" s="2" t="s">
        <v>34</v>
      </c>
      <c r="I266" s="2" t="s">
        <v>36</v>
      </c>
      <c r="J266" s="2" t="s">
        <v>799</v>
      </c>
      <c r="K266" s="4" t="str">
        <f>HYPERLINK("https://play.google.com/store/books/details?id=N26Fj0YuTu8C&amp;source=gbs_api","Abrir enlace")</f>
        <v>Abrir enlace</v>
      </c>
      <c r="L266" s="2" t="s">
        <v>800</v>
      </c>
      <c r="M266" s="2"/>
      <c r="N266" s="2" t="s">
        <v>39</v>
      </c>
      <c r="O266" s="2"/>
      <c r="P266" s="4" t="str">
        <f>HYPERLINK("https://play.google.com/store/books/details?id=N26Fj0YuTu8C&amp;source=gbs_api","Abrir enlace")</f>
        <v>Abrir enlace</v>
      </c>
      <c r="Q266" s="2"/>
      <c r="R266" s="2"/>
      <c r="S266" s="2"/>
      <c r="T266" s="2"/>
      <c r="U266" s="2"/>
      <c r="V266" s="2"/>
      <c r="W266" s="2"/>
      <c r="X266" s="2"/>
      <c r="Y266" s="2"/>
      <c r="Z266" s="2"/>
      <c r="AA266" s="2" t="s">
        <v>40</v>
      </c>
      <c r="AB266" s="2" t="s">
        <v>801</v>
      </c>
      <c r="AC266" s="2"/>
      <c r="AD266" s="2"/>
      <c r="AE266" s="2"/>
    </row>
    <row r="267" ht="15.75" customHeight="1">
      <c r="A267" s="2">
        <v>267.0</v>
      </c>
      <c r="B267" s="2" t="s">
        <v>797</v>
      </c>
      <c r="C267" s="2" t="s">
        <v>798</v>
      </c>
      <c r="D267" s="2" t="s">
        <v>33</v>
      </c>
      <c r="E267" s="2" t="s">
        <v>34</v>
      </c>
      <c r="F267" s="2" t="s">
        <v>35</v>
      </c>
      <c r="G267" s="2"/>
      <c r="H267" s="2" t="s">
        <v>34</v>
      </c>
      <c r="I267" s="2" t="s">
        <v>36</v>
      </c>
      <c r="J267" s="2" t="s">
        <v>802</v>
      </c>
      <c r="K267" s="4" t="str">
        <f>HYPERLINK("https://books.google.com.mx/books/about/Histoire_de_J%C3%A9rusalem_tableau_religieux.html?id=yg030_kwdiwC&amp;redir_esc=y","Abrir enlace")</f>
        <v>Abrir enlace</v>
      </c>
      <c r="L267" s="2" t="s">
        <v>797</v>
      </c>
      <c r="M267" s="2" t="s">
        <v>798</v>
      </c>
      <c r="N267" s="2" t="s">
        <v>734</v>
      </c>
      <c r="O267" s="2" t="s">
        <v>735</v>
      </c>
      <c r="P267" s="4" t="str">
        <f>HYPERLINK("https://books.google.com.mx/books/about/Histoire_de_J%C3%A9rusalem_tableau_religieux.html?id=yg030_kwdiwC&amp;redir_esc=y","Abrir enlace")</f>
        <v>Abrir enlace</v>
      </c>
      <c r="Q267" s="2" t="s">
        <v>803</v>
      </c>
      <c r="R267" s="2"/>
      <c r="S267" s="2" t="s">
        <v>91</v>
      </c>
      <c r="T267" s="2" t="s">
        <v>804</v>
      </c>
      <c r="U267" s="4" t="str">
        <f>HYPERLINK("https://catalogue.bnf.fr/ark:/12148/cb311425200","Abrir enlace")</f>
        <v>Abrir enlace</v>
      </c>
      <c r="V267" s="2" t="s">
        <v>805</v>
      </c>
      <c r="W267" s="2"/>
      <c r="X267" s="2" t="s">
        <v>91</v>
      </c>
      <c r="Y267" s="2" t="s">
        <v>719</v>
      </c>
      <c r="Z267" s="4" t="str">
        <f>HYPERLINK("https://books.google.com/books/about/Histoire_de_Jérusalem.html?id=LvMNAAAAYAAJ","Abrir enlace")</f>
        <v>Abrir enlace</v>
      </c>
      <c r="AA267" s="2"/>
      <c r="AB267" s="2"/>
      <c r="AC267" s="2"/>
      <c r="AD267" s="4" t="str">
        <f>HYPERLINK("https://books.google.com.mx/books/about/Histoire_de_J%C3%A9rusalem_tableau_religieux.html?id=yg030_kwdiwC&amp;redir_esc=y","Abrir enlace")</f>
        <v>Abrir enlace</v>
      </c>
      <c r="AE267" s="2" t="s">
        <v>806</v>
      </c>
    </row>
    <row r="268" ht="15.75" customHeight="1">
      <c r="A268" s="2">
        <v>268.0</v>
      </c>
      <c r="B268" s="2" t="s">
        <v>807</v>
      </c>
      <c r="C268" s="2" t="s">
        <v>808</v>
      </c>
      <c r="D268" s="2" t="s">
        <v>33</v>
      </c>
      <c r="E268" s="2" t="s">
        <v>64</v>
      </c>
      <c r="F268" s="3" t="s">
        <v>35</v>
      </c>
      <c r="G268" s="2"/>
      <c r="H268" s="2" t="s">
        <v>64</v>
      </c>
      <c r="I268" s="2" t="s">
        <v>36</v>
      </c>
      <c r="J268" s="2" t="s">
        <v>37</v>
      </c>
      <c r="K268" s="4" t="str">
        <f>HYPERLINK("https://openlibrary.org/works/OL44224590W","Abrir enlace")</f>
        <v>Abrir enlace</v>
      </c>
      <c r="L268" s="2" t="s">
        <v>809</v>
      </c>
      <c r="M268" s="2"/>
      <c r="N268" s="2" t="s">
        <v>45</v>
      </c>
      <c r="O268" s="2"/>
      <c r="P268" s="4" t="str">
        <f>HYPERLINK("https://openlibrary.org/works/OL44224590W","Abrir enlace")</f>
        <v>Abrir enlace</v>
      </c>
      <c r="Q268" s="2"/>
      <c r="R268" s="2"/>
      <c r="S268" s="2"/>
      <c r="T268" s="2"/>
      <c r="U268" s="2"/>
      <c r="V268" s="2"/>
      <c r="W268" s="2"/>
      <c r="X268" s="2"/>
      <c r="Y268" s="2"/>
      <c r="Z268" s="2"/>
      <c r="AA268" s="2" t="s">
        <v>40</v>
      </c>
      <c r="AB268" s="2" t="s">
        <v>67</v>
      </c>
      <c r="AC268" s="2"/>
      <c r="AD268" s="2"/>
      <c r="AE268" s="2"/>
    </row>
    <row r="269" ht="15.75" customHeight="1">
      <c r="A269" s="2">
        <v>269.0</v>
      </c>
      <c r="B269" s="2" t="s">
        <v>810</v>
      </c>
      <c r="C269" s="2"/>
      <c r="D269" s="2" t="s">
        <v>33</v>
      </c>
      <c r="E269" s="2" t="s">
        <v>64</v>
      </c>
      <c r="F269" s="2" t="s">
        <v>35</v>
      </c>
      <c r="G269" s="2"/>
      <c r="H269" s="2" t="s">
        <v>64</v>
      </c>
      <c r="I269" s="2" t="s">
        <v>36</v>
      </c>
      <c r="J269" s="2" t="s">
        <v>811</v>
      </c>
      <c r="K269" s="4" t="str">
        <f>HYPERLINK("https://books.google.com/books/about/Aeschyli_Tragoediae_septem.html?id=4OSeOy3kWn8C","Abrir enlace")</f>
        <v>Abrir enlace</v>
      </c>
      <c r="L269" s="2" t="s">
        <v>812</v>
      </c>
      <c r="M269" s="2"/>
      <c r="N269" s="2" t="s">
        <v>91</v>
      </c>
      <c r="O269" s="2" t="s">
        <v>813</v>
      </c>
      <c r="P269" s="4" t="str">
        <f>HYPERLINK("https://books.google.com/books/about/Aeschyli_Tragoediae_septem.html?id=4OSeOy3kWn8C","Abrir enlace")</f>
        <v>Abrir enlace</v>
      </c>
      <c r="Q269" s="2" t="s">
        <v>814</v>
      </c>
      <c r="R269" s="2"/>
      <c r="S269" s="2" t="s">
        <v>91</v>
      </c>
      <c r="T269" s="2" t="s">
        <v>815</v>
      </c>
      <c r="U269" s="4" t="str">
        <f>HYPERLINK("https://books.google.com/books/about/Aischylou_tragōdiai_hepta_Aeschyli_trag.html?id=30TadpUPg-EC","Abrir enlace")</f>
        <v>Abrir enlace</v>
      </c>
      <c r="V269" s="2" t="s">
        <v>816</v>
      </c>
      <c r="W269" s="2"/>
      <c r="X269" s="2" t="s">
        <v>91</v>
      </c>
      <c r="Y269" s="2" t="s">
        <v>817</v>
      </c>
      <c r="Z269" s="4" t="str">
        <f>HYPERLINK("https://books.google.com/books/about/Aeschyli_septem_quae_supersunt_tragoedia.html?id=As0bAAAAIAAJ","Abrir enlace")</f>
        <v>Abrir enlace</v>
      </c>
      <c r="AA269" s="2"/>
      <c r="AB269" s="2"/>
      <c r="AC269" s="2"/>
      <c r="AD269" s="2"/>
      <c r="AE269" s="2"/>
    </row>
    <row r="270" ht="15.75" customHeight="1">
      <c r="A270" s="2">
        <v>270.0</v>
      </c>
      <c r="B270" s="2" t="s">
        <v>810</v>
      </c>
      <c r="C270" s="2"/>
      <c r="D270" s="2" t="s">
        <v>33</v>
      </c>
      <c r="E270" s="2" t="s">
        <v>64</v>
      </c>
      <c r="F270" s="2" t="s">
        <v>35</v>
      </c>
      <c r="G270" s="2"/>
      <c r="H270" s="2" t="s">
        <v>64</v>
      </c>
      <c r="I270" s="2" t="s">
        <v>36</v>
      </c>
      <c r="J270" s="2" t="s">
        <v>811</v>
      </c>
      <c r="K270" s="2" t="s">
        <v>757</v>
      </c>
      <c r="L270" s="2" t="s">
        <v>812</v>
      </c>
      <c r="M270" s="2"/>
      <c r="N270" s="2" t="s">
        <v>91</v>
      </c>
      <c r="O270" s="2" t="s">
        <v>813</v>
      </c>
      <c r="P270" s="2" t="s">
        <v>757</v>
      </c>
      <c r="Q270" s="2" t="s">
        <v>814</v>
      </c>
      <c r="R270" s="2"/>
      <c r="S270" s="2" t="s">
        <v>91</v>
      </c>
      <c r="T270" s="2" t="s">
        <v>815</v>
      </c>
      <c r="U270" s="2" t="s">
        <v>757</v>
      </c>
      <c r="V270" s="2" t="s">
        <v>816</v>
      </c>
      <c r="W270" s="2"/>
      <c r="X270" s="2" t="s">
        <v>91</v>
      </c>
      <c r="Y270" s="2" t="s">
        <v>817</v>
      </c>
      <c r="Z270" s="2" t="s">
        <v>757</v>
      </c>
      <c r="AA270" s="2"/>
      <c r="AB270" s="2"/>
      <c r="AC270" s="2"/>
      <c r="AD270" s="2"/>
      <c r="AE270" s="2"/>
    </row>
    <row r="271" ht="15.75" customHeight="1">
      <c r="A271" s="2">
        <v>271.0</v>
      </c>
      <c r="B271" s="2" t="s">
        <v>818</v>
      </c>
      <c r="C271" s="2"/>
      <c r="D271" s="2" t="s">
        <v>165</v>
      </c>
      <c r="E271" s="2" t="s">
        <v>70</v>
      </c>
      <c r="F271" s="3" t="s">
        <v>35</v>
      </c>
      <c r="G271" s="2"/>
      <c r="H271" s="2" t="s">
        <v>70</v>
      </c>
      <c r="I271" s="2" t="s">
        <v>36</v>
      </c>
      <c r="J271" s="2" t="s">
        <v>819</v>
      </c>
      <c r="K271" s="4" t="str">
        <f>HYPERLINK("https://openlibrary.org/works/OL1317173W","Abrir enlace")</f>
        <v>Abrir enlace</v>
      </c>
      <c r="L271" s="2" t="s">
        <v>820</v>
      </c>
      <c r="M271" s="2"/>
      <c r="N271" s="2" t="s">
        <v>45</v>
      </c>
      <c r="O271" s="2"/>
      <c r="P271" s="4" t="str">
        <f>HYPERLINK("https://openlibrary.org/works/OL1317173W","Abrir enlace")</f>
        <v>Abrir enlace</v>
      </c>
      <c r="Q271" s="2"/>
      <c r="R271" s="2"/>
      <c r="S271" s="2"/>
      <c r="T271" s="2"/>
      <c r="U271" s="2"/>
      <c r="V271" s="2"/>
      <c r="W271" s="2"/>
      <c r="X271" s="2"/>
      <c r="Y271" s="2"/>
      <c r="Z271" s="2"/>
      <c r="AA271" s="2" t="s">
        <v>60</v>
      </c>
      <c r="AB271" s="2" t="s">
        <v>420</v>
      </c>
      <c r="AC271" s="2"/>
      <c r="AD271" s="2"/>
      <c r="AE271" s="2"/>
    </row>
    <row r="272" ht="15.75" customHeight="1">
      <c r="A272" s="2">
        <v>272.0</v>
      </c>
      <c r="B272" s="2" t="s">
        <v>821</v>
      </c>
      <c r="C272" s="2" t="s">
        <v>822</v>
      </c>
      <c r="D272" s="2" t="s">
        <v>33</v>
      </c>
      <c r="E272" s="2" t="s">
        <v>70</v>
      </c>
      <c r="F272" s="2" t="s">
        <v>35</v>
      </c>
      <c r="G272" s="2"/>
      <c r="H272" s="2" t="s">
        <v>70</v>
      </c>
      <c r="I272" s="2" t="s">
        <v>36</v>
      </c>
      <c r="J272" s="2" t="s">
        <v>823</v>
      </c>
      <c r="K272" s="4" t="str">
        <f>HYPERLINK("https://books.google.com.mx/books/about/Manuale_di_filosofia_sperimentale.html?id=3NBtcIJDjZwC&amp;redir_esc=y","Abrir enlace")</f>
        <v>Abrir enlace</v>
      </c>
      <c r="L272" s="2" t="s">
        <v>821</v>
      </c>
      <c r="M272" s="2" t="s">
        <v>822</v>
      </c>
      <c r="N272" s="2" t="s">
        <v>734</v>
      </c>
      <c r="O272" s="2" t="s">
        <v>735</v>
      </c>
      <c r="P272" s="4" t="str">
        <f>HYPERLINK("https://books.google.com.mx/books/about/Manuale_di_filosofia_sperimentale.html?id=3NBtcIJDjZwC&amp;redir_esc=y","Abrir enlace")</f>
        <v>Abrir enlace</v>
      </c>
      <c r="Q272" s="2" t="s">
        <v>824</v>
      </c>
      <c r="R272" s="2"/>
      <c r="S272" s="2" t="s">
        <v>91</v>
      </c>
      <c r="T272" s="2" t="s">
        <v>825</v>
      </c>
      <c r="U272" s="4" t="str">
        <f>HYPERLINK("https://www.abebooks.com/book-search/author/amice-i-f/","Abrir enlace")</f>
        <v>Abrir enlace</v>
      </c>
      <c r="V272" s="2" t="s">
        <v>826</v>
      </c>
      <c r="W272" s="2"/>
      <c r="X272" s="2" t="s">
        <v>91</v>
      </c>
      <c r="Y272" s="2" t="s">
        <v>827</v>
      </c>
      <c r="Z272" s="4" t="str">
        <f>HYPERLINK("https://archive.org/download/manualedifilosofia/Manuale+di+Filosofia_text.pdf","Abrir enlace")</f>
        <v>Abrir enlace</v>
      </c>
      <c r="AA272" s="2"/>
      <c r="AB272" s="2"/>
      <c r="AC272" s="2"/>
      <c r="AD272" s="4" t="str">
        <f>HYPERLINK("https://books.google.com.mx/books/about/Manuale_di_filosofia_sperimentale.html?id=3NBtcIJDjZwC&amp;redir_esc=y","Abrir enlace")</f>
        <v>Abrir enlace</v>
      </c>
      <c r="AE272" s="2" t="s">
        <v>828</v>
      </c>
    </row>
    <row r="273" ht="15.75" customHeight="1">
      <c r="A273" s="2">
        <v>273.0</v>
      </c>
      <c r="B273" s="2" t="s">
        <v>829</v>
      </c>
      <c r="C273" s="2" t="s">
        <v>830</v>
      </c>
      <c r="D273" s="2" t="s">
        <v>33</v>
      </c>
      <c r="E273" s="2" t="s">
        <v>34</v>
      </c>
      <c r="F273" s="2" t="s">
        <v>35</v>
      </c>
      <c r="G273" s="2"/>
      <c r="H273" s="2" t="s">
        <v>34</v>
      </c>
      <c r="I273" s="2" t="s">
        <v>168</v>
      </c>
      <c r="J273" s="2" t="s">
        <v>831</v>
      </c>
      <c r="K273" s="4" t="str">
        <f>HYPERLINK("https://bibliotecadigital.museodelprado.es/pradobib/es/bib/12781.do","Abrir enlace")</f>
        <v>Abrir enlace</v>
      </c>
      <c r="L273" s="2" t="s">
        <v>829</v>
      </c>
      <c r="M273" s="2" t="s">
        <v>830</v>
      </c>
      <c r="N273" s="2" t="s">
        <v>734</v>
      </c>
      <c r="O273" s="2" t="s">
        <v>832</v>
      </c>
      <c r="P273" s="4" t="str">
        <f>HYPERLINK("https://bibliotecadigital.museodelprado.es/pradobib/es/bib/12781.do","Abrir enlace")</f>
        <v>Abrir enlace</v>
      </c>
      <c r="Q273" s="2" t="s">
        <v>833</v>
      </c>
      <c r="R273" s="2"/>
      <c r="S273" s="2" t="s">
        <v>91</v>
      </c>
      <c r="T273" s="2" t="s">
        <v>834</v>
      </c>
      <c r="U273" s="4" t="str">
        <f>HYPERLINK("https://www.academia.edu/34878927/Reseña_a_F_J_González_Ponce_F_J_Gómez_Espelosín_y_A_L_Chávez_Reino_eds_La_letra_y_la_carta_descripción_verbal_y_representación_gráfica_en_los_dise"&amp;"ños_terrestres_grecolatinos_Estudios_en_honor_de_Pietro_Janni","Abrir enlace")</f>
        <v>Abrir enlace</v>
      </c>
      <c r="V273" s="2" t="s">
        <v>835</v>
      </c>
      <c r="W273" s="2"/>
      <c r="X273" s="2" t="s">
        <v>91</v>
      </c>
      <c r="Y273" s="2" t="s">
        <v>836</v>
      </c>
      <c r="Z273" s="4" t="str">
        <f>HYPERLINK("https://www.eldiariodemadrid.es/articulo/cultura/gonzalez-ponce-premio-poesia-sial-pigmalion/20250312101336093533.html","Abrir enlace")</f>
        <v>Abrir enlace</v>
      </c>
      <c r="AA273" s="2"/>
      <c r="AB273" s="2"/>
      <c r="AC273" s="2"/>
      <c r="AD273" s="4" t="str">
        <f>HYPERLINK("https://bibliotecadigital.museodelprado.es/pradobib/es/bib/12781.do","Abrir enlace")</f>
        <v>Abrir enlace</v>
      </c>
      <c r="AE273" s="2" t="s">
        <v>837</v>
      </c>
    </row>
    <row r="274" ht="15.75" customHeight="1">
      <c r="A274" s="2">
        <v>274.0</v>
      </c>
      <c r="B274" s="2" t="s">
        <v>838</v>
      </c>
      <c r="C274" s="2" t="s">
        <v>839</v>
      </c>
      <c r="D274" s="2" t="s">
        <v>33</v>
      </c>
      <c r="E274" s="2" t="s">
        <v>64</v>
      </c>
      <c r="F274" s="3" t="s">
        <v>35</v>
      </c>
      <c r="G274" s="2"/>
      <c r="H274" s="2" t="s">
        <v>64</v>
      </c>
      <c r="I274" s="2" t="s">
        <v>36</v>
      </c>
      <c r="J274" s="2" t="s">
        <v>37</v>
      </c>
      <c r="K274" s="4" t="str">
        <f>HYPERLINK("https://openlibrary.org/works/OL33121733W","Abrir enlace")</f>
        <v>Abrir enlace</v>
      </c>
      <c r="L274" s="2" t="s">
        <v>840</v>
      </c>
      <c r="M274" s="2"/>
      <c r="N274" s="2" t="s">
        <v>45</v>
      </c>
      <c r="O274" s="2"/>
      <c r="P274" s="4" t="str">
        <f>HYPERLINK("https://openlibrary.org/works/OL33121733W","Abrir enlace")</f>
        <v>Abrir enlace</v>
      </c>
      <c r="Q274" s="2"/>
      <c r="R274" s="2"/>
      <c r="S274" s="2"/>
      <c r="T274" s="2"/>
      <c r="U274" s="2"/>
      <c r="V274" s="2"/>
      <c r="W274" s="2"/>
      <c r="X274" s="2"/>
      <c r="Y274" s="2"/>
      <c r="Z274" s="2"/>
      <c r="AA274" s="2" t="s">
        <v>40</v>
      </c>
      <c r="AB274" s="2" t="s">
        <v>67</v>
      </c>
      <c r="AC274" s="2"/>
      <c r="AD274" s="2"/>
      <c r="AE274" s="2"/>
    </row>
    <row r="275" ht="15.75" customHeight="1">
      <c r="A275" s="2">
        <v>275.0</v>
      </c>
      <c r="B275" s="2" t="s">
        <v>841</v>
      </c>
      <c r="C275" s="2"/>
      <c r="D275" s="2" t="s">
        <v>165</v>
      </c>
      <c r="E275" s="2" t="s">
        <v>34</v>
      </c>
      <c r="F275" s="3" t="s">
        <v>35</v>
      </c>
      <c r="G275" s="2"/>
      <c r="H275" s="2" t="s">
        <v>34</v>
      </c>
      <c r="I275" s="2" t="s">
        <v>168</v>
      </c>
      <c r="J275" s="2" t="s">
        <v>842</v>
      </c>
      <c r="K275" s="4" t="str">
        <f>HYPERLINK("https://openlibrary.org/works/OL37700286W","Abrir enlace")</f>
        <v>Abrir enlace</v>
      </c>
      <c r="L275" s="2" t="s">
        <v>843</v>
      </c>
      <c r="M275" s="2"/>
      <c r="N275" s="2" t="s">
        <v>45</v>
      </c>
      <c r="O275" s="2"/>
      <c r="P275" s="4" t="str">
        <f>HYPERLINK("https://openlibrary.org/works/OL37700286W","Abrir enlace")</f>
        <v>Abrir enlace</v>
      </c>
      <c r="Q275" s="2"/>
      <c r="R275" s="2"/>
      <c r="S275" s="2"/>
      <c r="T275" s="2"/>
      <c r="U275" s="2"/>
      <c r="V275" s="2"/>
      <c r="W275" s="2"/>
      <c r="X275" s="2"/>
      <c r="Y275" s="2"/>
      <c r="Z275" s="2"/>
      <c r="AA275" s="2" t="s">
        <v>46</v>
      </c>
      <c r="AB275" s="2" t="s">
        <v>844</v>
      </c>
      <c r="AC275" s="2"/>
      <c r="AD275" s="2"/>
      <c r="AE275" s="2"/>
    </row>
    <row r="276" ht="15.75" customHeight="1">
      <c r="A276" s="2">
        <v>276.0</v>
      </c>
      <c r="B276" s="2" t="s">
        <v>845</v>
      </c>
      <c r="C276" s="2"/>
      <c r="D276" s="2" t="s">
        <v>165</v>
      </c>
      <c r="E276" s="2" t="s">
        <v>64</v>
      </c>
      <c r="F276" s="3" t="s">
        <v>35</v>
      </c>
      <c r="G276" s="2"/>
      <c r="H276" s="2" t="s">
        <v>64</v>
      </c>
      <c r="I276" s="2" t="s">
        <v>36</v>
      </c>
      <c r="J276" s="2" t="s">
        <v>37</v>
      </c>
      <c r="K276" s="4" t="str">
        <f>HYPERLINK("https://archive.org/details/bub_gb_OHoqgR9CAsMC","Abrir enlace")</f>
        <v>Abrir enlace</v>
      </c>
      <c r="L276" s="2" t="s">
        <v>846</v>
      </c>
      <c r="M276" s="2"/>
      <c r="N276" s="2" t="s">
        <v>54</v>
      </c>
      <c r="O276" s="2"/>
      <c r="P276" s="4" t="str">
        <f>HYPERLINK("https://archive.org/details/bub_gb_OHoqgR9CAsMC","Abrir enlace")</f>
        <v>Abrir enlace</v>
      </c>
      <c r="Q276" s="2"/>
      <c r="R276" s="2"/>
      <c r="S276" s="2"/>
      <c r="T276" s="2"/>
      <c r="U276" s="2"/>
      <c r="V276" s="2"/>
      <c r="W276" s="2"/>
      <c r="X276" s="2"/>
      <c r="Y276" s="2"/>
      <c r="Z276" s="2"/>
      <c r="AA276" s="2" t="s">
        <v>46</v>
      </c>
      <c r="AB276" s="2" t="s">
        <v>67</v>
      </c>
      <c r="AC276" s="2"/>
      <c r="AD276" s="2"/>
      <c r="AE276" s="2"/>
    </row>
    <row r="277" ht="15.75" customHeight="1">
      <c r="A277" s="2">
        <v>277.0</v>
      </c>
      <c r="B277" s="2" t="s">
        <v>847</v>
      </c>
      <c r="C277" s="2" t="s">
        <v>848</v>
      </c>
      <c r="D277" s="2" t="s">
        <v>33</v>
      </c>
      <c r="E277" s="2" t="s">
        <v>64</v>
      </c>
      <c r="F277" s="3" t="s">
        <v>35</v>
      </c>
      <c r="G277" s="2"/>
      <c r="H277" s="2" t="s">
        <v>64</v>
      </c>
      <c r="I277" s="2" t="s">
        <v>36</v>
      </c>
      <c r="J277" s="2" t="s">
        <v>849</v>
      </c>
      <c r="K277" s="4" t="str">
        <f>HYPERLINK("http://books.google.com.mx/books?id=b4R2XwAACAAJ&amp;dq=V%C3%ADctor+:+Roma+en+los+primeros+tiempos+del&amp;hl=&amp;as_pt=BOOKS&amp;source=gbs_api","Abrir enlace")</f>
        <v>Abrir enlace</v>
      </c>
      <c r="L277" s="2" t="s">
        <v>850</v>
      </c>
      <c r="M277" s="2"/>
      <c r="N277" s="2" t="s">
        <v>39</v>
      </c>
      <c r="O277" s="2"/>
      <c r="P277" s="4" t="str">
        <f>HYPERLINK("http://books.google.com.mx/books?id=b4R2XwAACAAJ&amp;dq=V%C3%ADctor+:+Roma+en+los+primeros+tiempos+del&amp;hl=&amp;as_pt=BOOKS&amp;source=gbs_api","Abrir enlace")</f>
        <v>Abrir enlace</v>
      </c>
      <c r="Q277" s="2"/>
      <c r="R277" s="2"/>
      <c r="S277" s="2"/>
      <c r="T277" s="2"/>
      <c r="U277" s="2"/>
      <c r="V277" s="2"/>
      <c r="W277" s="2"/>
      <c r="X277" s="2"/>
      <c r="Y277" s="2"/>
      <c r="Z277" s="2"/>
      <c r="AA277" s="2" t="s">
        <v>51</v>
      </c>
      <c r="AB277" s="2" t="s">
        <v>851</v>
      </c>
      <c r="AC277" s="2"/>
      <c r="AD277" s="2"/>
      <c r="AE277" s="2"/>
    </row>
    <row r="278" ht="15.75" customHeight="1">
      <c r="A278" s="2">
        <v>278.0</v>
      </c>
      <c r="B278" s="2" t="s">
        <v>852</v>
      </c>
      <c r="C278" s="2" t="s">
        <v>853</v>
      </c>
      <c r="D278" s="2" t="s">
        <v>33</v>
      </c>
      <c r="E278" s="2" t="s">
        <v>64</v>
      </c>
      <c r="F278" s="3" t="s">
        <v>35</v>
      </c>
      <c r="G278" s="2"/>
      <c r="H278" s="2" t="s">
        <v>64</v>
      </c>
      <c r="I278" s="2" t="s">
        <v>36</v>
      </c>
      <c r="J278" s="2" t="s">
        <v>37</v>
      </c>
      <c r="K278" s="4" t="str">
        <f>HYPERLINK("https://openlibrary.org/works/OL37697588W","Abrir enlace")</f>
        <v>Abrir enlace</v>
      </c>
      <c r="L278" s="2" t="s">
        <v>854</v>
      </c>
      <c r="M278" s="2"/>
      <c r="N278" s="2" t="s">
        <v>45</v>
      </c>
      <c r="O278" s="2"/>
      <c r="P278" s="4" t="str">
        <f>HYPERLINK("https://openlibrary.org/works/OL37697588W","Abrir enlace")</f>
        <v>Abrir enlace</v>
      </c>
      <c r="Q278" s="2"/>
      <c r="R278" s="2"/>
      <c r="S278" s="2"/>
      <c r="T278" s="2"/>
      <c r="U278" s="2"/>
      <c r="V278" s="2"/>
      <c r="W278" s="2"/>
      <c r="X278" s="2"/>
      <c r="Y278" s="2"/>
      <c r="Z278" s="2"/>
      <c r="AA278" s="2" t="s">
        <v>66</v>
      </c>
      <c r="AB278" s="2" t="s">
        <v>67</v>
      </c>
      <c r="AC278" s="2"/>
      <c r="AD278" s="2"/>
      <c r="AE278" s="2"/>
    </row>
    <row r="279" ht="15.75" customHeight="1">
      <c r="A279" s="2">
        <v>279.0</v>
      </c>
      <c r="B279" s="2" t="s">
        <v>855</v>
      </c>
      <c r="C279" s="2" t="s">
        <v>856</v>
      </c>
      <c r="D279" s="2" t="s">
        <v>33</v>
      </c>
      <c r="E279" s="2" t="s">
        <v>64</v>
      </c>
      <c r="F279" s="3" t="s">
        <v>35</v>
      </c>
      <c r="G279" s="2"/>
      <c r="H279" s="2" t="s">
        <v>64</v>
      </c>
      <c r="I279" s="2" t="s">
        <v>36</v>
      </c>
      <c r="J279" s="2" t="s">
        <v>37</v>
      </c>
      <c r="K279" s="4" t="str">
        <f t="shared" ref="K279:K280" si="31">HYPERLINK("https://archive.org/details/oeuvresdejeanrac04raciuoft","Abrir enlace")</f>
        <v>Abrir enlace</v>
      </c>
      <c r="L279" s="2" t="s">
        <v>855</v>
      </c>
      <c r="M279" s="2"/>
      <c r="N279" s="2" t="s">
        <v>54</v>
      </c>
      <c r="O279" s="2"/>
      <c r="P279" s="4" t="str">
        <f t="shared" ref="P279:P280" si="32">HYPERLINK("https://archive.org/details/oeuvresdejeanrac04raciuoft","Abrir enlace")</f>
        <v>Abrir enlace</v>
      </c>
      <c r="Q279" s="2"/>
      <c r="R279" s="2"/>
      <c r="S279" s="2"/>
      <c r="T279" s="2"/>
      <c r="U279" s="2"/>
      <c r="V279" s="2"/>
      <c r="W279" s="2"/>
      <c r="X279" s="2"/>
      <c r="Y279" s="2"/>
      <c r="Z279" s="2"/>
      <c r="AA279" s="2" t="s">
        <v>40</v>
      </c>
      <c r="AB279" s="2" t="s">
        <v>67</v>
      </c>
      <c r="AC279" s="2"/>
      <c r="AD279" s="2"/>
      <c r="AE279" s="2"/>
    </row>
    <row r="280" ht="15.75" customHeight="1">
      <c r="A280" s="2">
        <v>280.0</v>
      </c>
      <c r="B280" s="2" t="s">
        <v>855</v>
      </c>
      <c r="C280" s="2" t="s">
        <v>856</v>
      </c>
      <c r="D280" s="2" t="s">
        <v>33</v>
      </c>
      <c r="E280" s="2" t="s">
        <v>64</v>
      </c>
      <c r="F280" s="3" t="s">
        <v>35</v>
      </c>
      <c r="G280" s="2"/>
      <c r="H280" s="2" t="s">
        <v>64</v>
      </c>
      <c r="I280" s="2" t="s">
        <v>36</v>
      </c>
      <c r="J280" s="2" t="s">
        <v>37</v>
      </c>
      <c r="K280" s="4" t="str">
        <f t="shared" si="31"/>
        <v>Abrir enlace</v>
      </c>
      <c r="L280" s="2" t="s">
        <v>855</v>
      </c>
      <c r="M280" s="2"/>
      <c r="N280" s="2" t="s">
        <v>54</v>
      </c>
      <c r="O280" s="2"/>
      <c r="P280" s="4" t="str">
        <f t="shared" si="32"/>
        <v>Abrir enlace</v>
      </c>
      <c r="Q280" s="2"/>
      <c r="R280" s="2"/>
      <c r="S280" s="2"/>
      <c r="T280" s="2"/>
      <c r="U280" s="2"/>
      <c r="V280" s="2"/>
      <c r="W280" s="2"/>
      <c r="X280" s="2"/>
      <c r="Y280" s="2"/>
      <c r="Z280" s="2"/>
      <c r="AA280" s="2" t="s">
        <v>40</v>
      </c>
      <c r="AB280" s="2" t="s">
        <v>67</v>
      </c>
      <c r="AC280" s="2"/>
      <c r="AD280" s="2"/>
      <c r="AE280" s="2"/>
    </row>
    <row r="281" ht="15.75" customHeight="1">
      <c r="A281" s="2">
        <v>281.0</v>
      </c>
      <c r="B281" s="2" t="s">
        <v>857</v>
      </c>
      <c r="C281" s="2" t="s">
        <v>858</v>
      </c>
      <c r="D281" s="2" t="s">
        <v>33</v>
      </c>
      <c r="E281" s="2" t="s">
        <v>64</v>
      </c>
      <c r="F281" s="3" t="s">
        <v>35</v>
      </c>
      <c r="G281" s="2"/>
      <c r="H281" s="2" t="s">
        <v>64</v>
      </c>
      <c r="I281" s="2" t="s">
        <v>36</v>
      </c>
      <c r="J281" s="2" t="s">
        <v>37</v>
      </c>
      <c r="K281" s="4" t="str">
        <f>HYPERLINK("https://archive.org/details/mlangesdeposieet00flor","Abrir enlace")</f>
        <v>Abrir enlace</v>
      </c>
      <c r="L281" s="2" t="s">
        <v>857</v>
      </c>
      <c r="M281" s="2"/>
      <c r="N281" s="2" t="s">
        <v>54</v>
      </c>
      <c r="O281" s="2"/>
      <c r="P281" s="4" t="str">
        <f>HYPERLINK("https://archive.org/details/mlangesdeposieet00flor","Abrir enlace")</f>
        <v>Abrir enlace</v>
      </c>
      <c r="Q281" s="2"/>
      <c r="R281" s="2"/>
      <c r="S281" s="2"/>
      <c r="T281" s="2"/>
      <c r="U281" s="2"/>
      <c r="V281" s="2"/>
      <c r="W281" s="2"/>
      <c r="X281" s="2"/>
      <c r="Y281" s="2"/>
      <c r="Z281" s="2"/>
      <c r="AA281" s="2" t="s">
        <v>40</v>
      </c>
      <c r="AB281" s="2" t="s">
        <v>67</v>
      </c>
      <c r="AC281" s="2"/>
      <c r="AD281" s="2"/>
      <c r="AE281" s="2"/>
    </row>
    <row r="282" ht="15.75" customHeight="1">
      <c r="A282" s="2">
        <v>282.0</v>
      </c>
      <c r="B282" s="2" t="s">
        <v>859</v>
      </c>
      <c r="C282" s="2" t="s">
        <v>860</v>
      </c>
      <c r="D282" s="2" t="s">
        <v>33</v>
      </c>
      <c r="E282" s="2" t="s">
        <v>64</v>
      </c>
      <c r="F282" s="3" t="s">
        <v>35</v>
      </c>
      <c r="G282" s="2"/>
      <c r="H282" s="2" t="s">
        <v>64</v>
      </c>
      <c r="I282" s="2" t="s">
        <v>36</v>
      </c>
      <c r="J282" s="2" t="s">
        <v>861</v>
      </c>
      <c r="K282" s="4" t="str">
        <f>HYPERLINK("https://openlibrary.org/works/OL1077449W","Abrir enlace")</f>
        <v>Abrir enlace</v>
      </c>
      <c r="L282" s="2" t="s">
        <v>862</v>
      </c>
      <c r="M282" s="2"/>
      <c r="N282" s="2" t="s">
        <v>45</v>
      </c>
      <c r="O282" s="2"/>
      <c r="P282" s="4" t="str">
        <f>HYPERLINK("https://openlibrary.org/works/OL1077449W","Abrir enlace")</f>
        <v>Abrir enlace</v>
      </c>
      <c r="Q282" s="2"/>
      <c r="R282" s="2"/>
      <c r="S282" s="2"/>
      <c r="T282" s="2"/>
      <c r="U282" s="2"/>
      <c r="V282" s="2"/>
      <c r="W282" s="2"/>
      <c r="X282" s="2"/>
      <c r="Y282" s="2"/>
      <c r="Z282" s="2"/>
      <c r="AA282" s="2" t="s">
        <v>40</v>
      </c>
      <c r="AB282" s="2" t="s">
        <v>150</v>
      </c>
      <c r="AC282" s="2"/>
      <c r="AD282" s="2"/>
      <c r="AE282" s="2"/>
    </row>
    <row r="283" ht="15.75" customHeight="1">
      <c r="A283" s="2">
        <v>283.0</v>
      </c>
      <c r="B283" s="2" t="s">
        <v>863</v>
      </c>
      <c r="C283" s="2" t="s">
        <v>864</v>
      </c>
      <c r="D283" s="2" t="s">
        <v>33</v>
      </c>
      <c r="E283" s="2" t="s">
        <v>64</v>
      </c>
      <c r="F283" s="3" t="s">
        <v>35</v>
      </c>
      <c r="G283" s="2"/>
      <c r="H283" s="2" t="s">
        <v>64</v>
      </c>
      <c r="I283" s="2" t="s">
        <v>36</v>
      </c>
      <c r="J283" s="2" t="s">
        <v>37</v>
      </c>
      <c r="K283" s="4" t="str">
        <f>HYPERLINK("https://openlibrary.org/works/OL38740102W","Abrir enlace")</f>
        <v>Abrir enlace</v>
      </c>
      <c r="L283" s="2" t="s">
        <v>865</v>
      </c>
      <c r="M283" s="2"/>
      <c r="N283" s="2" t="s">
        <v>45</v>
      </c>
      <c r="O283" s="2"/>
      <c r="P283" s="4" t="str">
        <f>HYPERLINK("https://openlibrary.org/works/OL38740102W","Abrir enlace")</f>
        <v>Abrir enlace</v>
      </c>
      <c r="Q283" s="2"/>
      <c r="R283" s="2"/>
      <c r="S283" s="2"/>
      <c r="T283" s="2"/>
      <c r="U283" s="2"/>
      <c r="V283" s="2"/>
      <c r="W283" s="2"/>
      <c r="X283" s="2"/>
      <c r="Y283" s="2"/>
      <c r="Z283" s="2"/>
      <c r="AA283" s="2" t="s">
        <v>46</v>
      </c>
      <c r="AB283" s="2" t="s">
        <v>67</v>
      </c>
      <c r="AC283" s="2"/>
      <c r="AD283" s="2"/>
      <c r="AE283" s="2"/>
    </row>
    <row r="284" ht="15.75" customHeight="1">
      <c r="A284" s="2">
        <v>284.0</v>
      </c>
      <c r="B284" s="2" t="s">
        <v>866</v>
      </c>
      <c r="C284" s="2" t="s">
        <v>867</v>
      </c>
      <c r="D284" s="2" t="s">
        <v>33</v>
      </c>
      <c r="E284" s="2" t="s">
        <v>64</v>
      </c>
      <c r="F284" s="3" t="s">
        <v>35</v>
      </c>
      <c r="G284" s="2"/>
      <c r="H284" s="2" t="s">
        <v>64</v>
      </c>
      <c r="I284" s="2" t="s">
        <v>36</v>
      </c>
      <c r="J284" s="2" t="s">
        <v>868</v>
      </c>
      <c r="K284" s="4" t="str">
        <f>HYPERLINK("https://openlibrary.org/works/OL32818615W","Abrir enlace")</f>
        <v>Abrir enlace</v>
      </c>
      <c r="L284" s="2" t="s">
        <v>869</v>
      </c>
      <c r="M284" s="2"/>
      <c r="N284" s="2" t="s">
        <v>45</v>
      </c>
      <c r="O284" s="2"/>
      <c r="P284" s="4" t="str">
        <f>HYPERLINK("https://openlibrary.org/works/OL32818615W","Abrir enlace")</f>
        <v>Abrir enlace</v>
      </c>
      <c r="Q284" s="2"/>
      <c r="R284" s="2"/>
      <c r="S284" s="2"/>
      <c r="T284" s="2"/>
      <c r="U284" s="2"/>
      <c r="V284" s="2"/>
      <c r="W284" s="2"/>
      <c r="X284" s="2"/>
      <c r="Y284" s="2"/>
      <c r="Z284" s="2"/>
      <c r="AA284" s="2" t="s">
        <v>46</v>
      </c>
      <c r="AB284" s="2" t="s">
        <v>558</v>
      </c>
      <c r="AC284" s="2"/>
      <c r="AD284" s="2"/>
      <c r="AE284" s="2"/>
    </row>
    <row r="285" ht="15.75" customHeight="1">
      <c r="A285" s="2">
        <v>285.0</v>
      </c>
      <c r="B285" s="2" t="s">
        <v>870</v>
      </c>
      <c r="C285" s="2" t="s">
        <v>871</v>
      </c>
      <c r="D285" s="2" t="s">
        <v>33</v>
      </c>
      <c r="E285" s="2" t="s">
        <v>70</v>
      </c>
      <c r="F285" s="2" t="s">
        <v>35</v>
      </c>
      <c r="G285" s="2"/>
      <c r="H285" s="2" t="s">
        <v>70</v>
      </c>
      <c r="I285" s="2" t="s">
        <v>36</v>
      </c>
      <c r="J285" s="2" t="s">
        <v>872</v>
      </c>
      <c r="K285" s="4" t="str">
        <f>HYPERLINK("https://ccfr.bnf.fr/portailccfr/ark:/16871/0018628071","Abrir enlace")</f>
        <v>Abrir enlace</v>
      </c>
      <c r="L285" s="2" t="s">
        <v>873</v>
      </c>
      <c r="M285" s="2"/>
      <c r="N285" s="2" t="s">
        <v>91</v>
      </c>
      <c r="O285" s="2" t="s">
        <v>874</v>
      </c>
      <c r="P285" s="4" t="str">
        <f>HYPERLINK("https://ccfr.bnf.fr/portailccfr/ark:/16871/0018628071","Abrir enlace")</f>
        <v>Abrir enlace</v>
      </c>
      <c r="Q285" s="2" t="s">
        <v>875</v>
      </c>
      <c r="R285" s="2"/>
      <c r="S285" s="2" t="s">
        <v>91</v>
      </c>
      <c r="T285" s="2" t="s">
        <v>876</v>
      </c>
      <c r="U285" s="4" t="str">
        <f>HYPERLINK("https://www.sudoc.fr/11575430X","Abrir enlace")</f>
        <v>Abrir enlace</v>
      </c>
      <c r="V285" s="2" t="s">
        <v>877</v>
      </c>
      <c r="W285" s="2"/>
      <c r="X285" s="2" t="s">
        <v>91</v>
      </c>
      <c r="Y285" s="2" t="s">
        <v>878</v>
      </c>
      <c r="Z285" s="4" t="str">
        <f>HYPERLINK("https://catalogue.bnf.fr/ark:/12148/cb30456814f","Abrir enlace")</f>
        <v>Abrir enlace</v>
      </c>
      <c r="AA285" s="2"/>
      <c r="AB285" s="2"/>
      <c r="AC285" s="2"/>
      <c r="AD285" s="2"/>
      <c r="AE285" s="2"/>
    </row>
    <row r="286" ht="15.75" customHeight="1">
      <c r="A286" s="2">
        <v>286.0</v>
      </c>
      <c r="B286" s="2" t="s">
        <v>879</v>
      </c>
      <c r="C286" s="2" t="s">
        <v>880</v>
      </c>
      <c r="D286" s="2" t="s">
        <v>33</v>
      </c>
      <c r="E286" s="2" t="s">
        <v>112</v>
      </c>
      <c r="F286" s="3" t="s">
        <v>35</v>
      </c>
      <c r="G286" s="2"/>
      <c r="H286" s="2" t="s">
        <v>112</v>
      </c>
      <c r="I286" s="2" t="s">
        <v>168</v>
      </c>
      <c r="J286" s="2" t="s">
        <v>881</v>
      </c>
      <c r="K286" s="4" t="str">
        <f>HYPERLINK("https://openlibrary.org/works/OL18132495W","Abrir enlace")</f>
        <v>Abrir enlace</v>
      </c>
      <c r="L286" s="2" t="s">
        <v>882</v>
      </c>
      <c r="M286" s="2"/>
      <c r="N286" s="2" t="s">
        <v>45</v>
      </c>
      <c r="O286" s="2"/>
      <c r="P286" s="4" t="str">
        <f>HYPERLINK("https://openlibrary.org/works/OL18132495W","Abrir enlace")</f>
        <v>Abrir enlace</v>
      </c>
      <c r="Q286" s="2"/>
      <c r="R286" s="2"/>
      <c r="S286" s="2"/>
      <c r="T286" s="2"/>
      <c r="U286" s="2"/>
      <c r="V286" s="2"/>
      <c r="W286" s="2"/>
      <c r="X286" s="2"/>
      <c r="Y286" s="2"/>
      <c r="Z286" s="2"/>
      <c r="AA286" s="2" t="s">
        <v>40</v>
      </c>
      <c r="AB286" s="2" t="s">
        <v>883</v>
      </c>
      <c r="AC286" s="2"/>
      <c r="AD286" s="2"/>
      <c r="AE286" s="2"/>
    </row>
    <row r="287" ht="15.75" customHeight="1">
      <c r="A287" s="2">
        <v>287.0</v>
      </c>
      <c r="B287" s="2" t="s">
        <v>884</v>
      </c>
      <c r="C287" s="2" t="s">
        <v>885</v>
      </c>
      <c r="D287" s="2" t="s">
        <v>33</v>
      </c>
      <c r="E287" s="2" t="s">
        <v>112</v>
      </c>
      <c r="F287" s="3" t="s">
        <v>35</v>
      </c>
      <c r="G287" s="2"/>
      <c r="H287" s="2" t="s">
        <v>112</v>
      </c>
      <c r="I287" s="2" t="s">
        <v>36</v>
      </c>
      <c r="J287" s="2" t="s">
        <v>37</v>
      </c>
      <c r="K287" s="4" t="str">
        <f>HYPERLINK("https://openlibrary.org/works/OL1238257W","Abrir enlace")</f>
        <v>Abrir enlace</v>
      </c>
      <c r="L287" s="2" t="s">
        <v>886</v>
      </c>
      <c r="M287" s="2"/>
      <c r="N287" s="2" t="s">
        <v>45</v>
      </c>
      <c r="O287" s="2"/>
      <c r="P287" s="4" t="str">
        <f>HYPERLINK("https://openlibrary.org/works/OL1238257W","Abrir enlace")</f>
        <v>Abrir enlace</v>
      </c>
      <c r="Q287" s="2"/>
      <c r="R287" s="2"/>
      <c r="S287" s="2"/>
      <c r="T287" s="2"/>
      <c r="U287" s="2"/>
      <c r="V287" s="2"/>
      <c r="W287" s="2"/>
      <c r="X287" s="2"/>
      <c r="Y287" s="2"/>
      <c r="Z287" s="2"/>
      <c r="AA287" s="2" t="s">
        <v>46</v>
      </c>
      <c r="AB287" s="2" t="s">
        <v>114</v>
      </c>
      <c r="AC287" s="2"/>
      <c r="AD287" s="2"/>
      <c r="AE287" s="2"/>
    </row>
    <row r="288" ht="15.75" customHeight="1">
      <c r="A288" s="2">
        <v>288.0</v>
      </c>
      <c r="B288" s="2" t="s">
        <v>887</v>
      </c>
      <c r="C288" s="2" t="s">
        <v>888</v>
      </c>
      <c r="D288" s="2" t="s">
        <v>33</v>
      </c>
      <c r="E288" s="2" t="s">
        <v>70</v>
      </c>
      <c r="F288" s="2" t="s">
        <v>35</v>
      </c>
      <c r="G288" s="2"/>
      <c r="H288" s="2" t="s">
        <v>70</v>
      </c>
      <c r="I288" s="2" t="s">
        <v>36</v>
      </c>
      <c r="J288" s="2" t="s">
        <v>889</v>
      </c>
      <c r="K288" s="4" t="str">
        <f>HYPERLINK("https://gallica.bnf.fr/ark:/12148/bpt6k63544280.texteImage","Abrir enlace")</f>
        <v>Abrir enlace</v>
      </c>
      <c r="L288" s="2" t="s">
        <v>890</v>
      </c>
      <c r="M288" s="2"/>
      <c r="N288" s="2" t="s">
        <v>91</v>
      </c>
      <c r="O288" s="2" t="s">
        <v>891</v>
      </c>
      <c r="P288" s="4" t="str">
        <f>HYPERLINK("https://gallica.bnf.fr/ark:/12148/bpt6k63544280.texteImage","Abrir enlace")</f>
        <v>Abrir enlace</v>
      </c>
      <c r="Q288" s="2" t="s">
        <v>892</v>
      </c>
      <c r="R288" s="2"/>
      <c r="S288" s="2" t="s">
        <v>91</v>
      </c>
      <c r="T288" s="2" t="s">
        <v>893</v>
      </c>
      <c r="U288" s="4" t="str">
        <f>HYPERLINK("https://archive.org/details/NotionsElementairesDHistoireNaturelleMineralogie","Abrir enlace")</f>
        <v>Abrir enlace</v>
      </c>
      <c r="V288" s="2" t="s">
        <v>894</v>
      </c>
      <c r="W288" s="2"/>
      <c r="X288" s="2" t="s">
        <v>91</v>
      </c>
      <c r="Y288" s="2" t="s">
        <v>895</v>
      </c>
      <c r="Z288" s="4" t="str">
        <f>HYPERLINK("https://www.leseditionsdunet.com/livre/notions-elementaires-dhistoire-naturelle-par-g-delafosse-mineralogie-nouvelle-edition","Abrir enlace")</f>
        <v>Abrir enlace</v>
      </c>
      <c r="AA288" s="2"/>
      <c r="AB288" s="2"/>
      <c r="AC288" s="2"/>
      <c r="AD288" s="2"/>
      <c r="AE288" s="2"/>
    </row>
    <row r="289" ht="15.75" customHeight="1">
      <c r="A289" s="2">
        <v>289.0</v>
      </c>
      <c r="B289" s="2" t="s">
        <v>896</v>
      </c>
      <c r="C289" s="2"/>
      <c r="D289" s="2" t="s">
        <v>165</v>
      </c>
      <c r="E289" s="2" t="s">
        <v>64</v>
      </c>
      <c r="F289" s="2" t="s">
        <v>35</v>
      </c>
      <c r="G289" s="2"/>
      <c r="H289" s="2" t="s">
        <v>64</v>
      </c>
      <c r="I289" s="2" t="s">
        <v>168</v>
      </c>
      <c r="J289" s="2" t="s">
        <v>897</v>
      </c>
      <c r="K289" s="4" t="str">
        <f>HYPERLINK("https://archive.org/details/lexiconmanualegr0000bret","Abrir enlace")</f>
        <v>Abrir enlace</v>
      </c>
      <c r="L289" s="2" t="s">
        <v>898</v>
      </c>
      <c r="M289" s="2"/>
      <c r="N289" s="2" t="s">
        <v>91</v>
      </c>
      <c r="O289" s="2" t="s">
        <v>899</v>
      </c>
      <c r="P289" s="4" t="str">
        <f>HYPERLINK("https://archive.org/details/lexiconmanualegr0000bret","Abrir enlace")</f>
        <v>Abrir enlace</v>
      </c>
      <c r="Q289" s="2" t="s">
        <v>900</v>
      </c>
      <c r="R289" s="2"/>
      <c r="S289" s="2" t="s">
        <v>91</v>
      </c>
      <c r="T289" s="2" t="s">
        <v>722</v>
      </c>
      <c r="U289" s="4" t="str">
        <f>HYPERLINK("https://books.google.com/books/about/Lexicon_Novi_Testamenti_Graeco_Latino_Be.html?id=n3fkMrIc1-EC","Abrir enlace")</f>
        <v>Abrir enlace</v>
      </c>
      <c r="V289" s="2" t="s">
        <v>901</v>
      </c>
      <c r="W289" s="2"/>
      <c r="X289" s="2" t="s">
        <v>91</v>
      </c>
      <c r="Y289" s="2" t="s">
        <v>902</v>
      </c>
      <c r="Z289" s="4" t="str">
        <f>HYPERLINK("https://archive.org/details/ned-kbn-all-00003677-001","Abrir enlace")</f>
        <v>Abrir enlace</v>
      </c>
      <c r="AA289" s="2"/>
      <c r="AB289" s="2"/>
      <c r="AC289" s="2"/>
      <c r="AD289" s="2"/>
      <c r="AE289" s="2"/>
    </row>
    <row r="290" ht="15.75" customHeight="1">
      <c r="A290" s="2">
        <v>290.0</v>
      </c>
      <c r="B290" s="2" t="s">
        <v>903</v>
      </c>
      <c r="C290" s="2" t="s">
        <v>904</v>
      </c>
      <c r="D290" s="2" t="s">
        <v>33</v>
      </c>
      <c r="E290" s="2" t="s">
        <v>64</v>
      </c>
      <c r="F290" s="3" t="s">
        <v>35</v>
      </c>
      <c r="G290" s="2"/>
      <c r="H290" s="2" t="s">
        <v>64</v>
      </c>
      <c r="I290" s="2" t="s">
        <v>36</v>
      </c>
      <c r="J290" s="2" t="s">
        <v>905</v>
      </c>
      <c r="K290" s="4" t="str">
        <f t="shared" ref="K290:K294" si="33">HYPERLINK("https://openlibrary.org/works/OL8970638W","Abrir enlace")</f>
        <v>Abrir enlace</v>
      </c>
      <c r="L290" s="2" t="s">
        <v>906</v>
      </c>
      <c r="M290" s="2"/>
      <c r="N290" s="2" t="s">
        <v>45</v>
      </c>
      <c r="O290" s="2"/>
      <c r="P290" s="4" t="str">
        <f t="shared" ref="P290:P294" si="34">HYPERLINK("https://openlibrary.org/works/OL8970638W","Abrir enlace")</f>
        <v>Abrir enlace</v>
      </c>
      <c r="Q290" s="2"/>
      <c r="R290" s="2"/>
      <c r="S290" s="2"/>
      <c r="T290" s="2"/>
      <c r="U290" s="2"/>
      <c r="V290" s="2"/>
      <c r="W290" s="2"/>
      <c r="X290" s="2"/>
      <c r="Y290" s="2"/>
      <c r="Z290" s="2"/>
      <c r="AA290" s="2" t="s">
        <v>40</v>
      </c>
      <c r="AB290" s="2" t="s">
        <v>150</v>
      </c>
      <c r="AC290" s="2"/>
      <c r="AD290" s="2"/>
      <c r="AE290" s="2"/>
    </row>
    <row r="291" ht="15.75" customHeight="1">
      <c r="A291" s="2">
        <v>291.0</v>
      </c>
      <c r="B291" s="2" t="s">
        <v>903</v>
      </c>
      <c r="C291" s="2" t="s">
        <v>904</v>
      </c>
      <c r="D291" s="2" t="s">
        <v>33</v>
      </c>
      <c r="E291" s="2" t="s">
        <v>64</v>
      </c>
      <c r="F291" s="2" t="s">
        <v>174</v>
      </c>
      <c r="G291" s="2" t="s">
        <v>907</v>
      </c>
      <c r="H291" s="2" t="s">
        <v>34</v>
      </c>
      <c r="I291" s="2" t="s">
        <v>36</v>
      </c>
      <c r="J291" s="2" t="s">
        <v>37</v>
      </c>
      <c r="K291" s="4" t="str">
        <f t="shared" si="33"/>
        <v>Abrir enlace</v>
      </c>
      <c r="L291" s="2" t="s">
        <v>906</v>
      </c>
      <c r="M291" s="2"/>
      <c r="N291" s="2" t="s">
        <v>45</v>
      </c>
      <c r="O291" s="2"/>
      <c r="P291" s="4" t="str">
        <f t="shared" si="34"/>
        <v>Abrir enlace</v>
      </c>
      <c r="Q291" s="2"/>
      <c r="R291" s="2"/>
      <c r="S291" s="2"/>
      <c r="T291" s="2"/>
      <c r="U291" s="2"/>
      <c r="V291" s="2"/>
      <c r="W291" s="2"/>
      <c r="X291" s="2"/>
      <c r="Y291" s="2"/>
      <c r="Z291" s="2"/>
      <c r="AA291" s="2" t="s">
        <v>40</v>
      </c>
      <c r="AB291" s="2" t="s">
        <v>41</v>
      </c>
      <c r="AC291" s="2" t="s">
        <v>907</v>
      </c>
      <c r="AD291" s="2"/>
      <c r="AE291" s="2"/>
    </row>
    <row r="292" ht="15.75" customHeight="1">
      <c r="A292" s="2">
        <v>292.0</v>
      </c>
      <c r="B292" s="2" t="s">
        <v>903</v>
      </c>
      <c r="C292" s="2" t="s">
        <v>904</v>
      </c>
      <c r="D292" s="2" t="s">
        <v>33</v>
      </c>
      <c r="E292" s="2" t="s">
        <v>64</v>
      </c>
      <c r="F292" s="2" t="s">
        <v>174</v>
      </c>
      <c r="G292" s="2" t="s">
        <v>907</v>
      </c>
      <c r="H292" s="2" t="s">
        <v>34</v>
      </c>
      <c r="I292" s="2" t="s">
        <v>36</v>
      </c>
      <c r="J292" s="2" t="s">
        <v>37</v>
      </c>
      <c r="K292" s="4" t="str">
        <f t="shared" si="33"/>
        <v>Abrir enlace</v>
      </c>
      <c r="L292" s="2" t="s">
        <v>906</v>
      </c>
      <c r="M292" s="2"/>
      <c r="N292" s="2" t="s">
        <v>45</v>
      </c>
      <c r="O292" s="2"/>
      <c r="P292" s="4" t="str">
        <f t="shared" si="34"/>
        <v>Abrir enlace</v>
      </c>
      <c r="Q292" s="2"/>
      <c r="R292" s="2"/>
      <c r="S292" s="2"/>
      <c r="T292" s="2"/>
      <c r="U292" s="2"/>
      <c r="V292" s="2"/>
      <c r="W292" s="2"/>
      <c r="X292" s="2"/>
      <c r="Y292" s="2"/>
      <c r="Z292" s="2"/>
      <c r="AA292" s="2" t="s">
        <v>40</v>
      </c>
      <c r="AB292" s="2" t="s">
        <v>41</v>
      </c>
      <c r="AC292" s="2" t="s">
        <v>907</v>
      </c>
      <c r="AD292" s="2"/>
      <c r="AE292" s="2"/>
    </row>
    <row r="293" ht="15.75" customHeight="1">
      <c r="A293" s="2">
        <v>293.0</v>
      </c>
      <c r="B293" s="2" t="s">
        <v>903</v>
      </c>
      <c r="C293" s="2" t="s">
        <v>904</v>
      </c>
      <c r="D293" s="2" t="s">
        <v>33</v>
      </c>
      <c r="E293" s="2" t="s">
        <v>64</v>
      </c>
      <c r="F293" s="2" t="s">
        <v>174</v>
      </c>
      <c r="G293" s="2" t="s">
        <v>907</v>
      </c>
      <c r="H293" s="2" t="s">
        <v>34</v>
      </c>
      <c r="I293" s="2" t="s">
        <v>36</v>
      </c>
      <c r="J293" s="2" t="s">
        <v>37</v>
      </c>
      <c r="K293" s="4" t="str">
        <f t="shared" si="33"/>
        <v>Abrir enlace</v>
      </c>
      <c r="L293" s="2" t="s">
        <v>906</v>
      </c>
      <c r="M293" s="2"/>
      <c r="N293" s="2" t="s">
        <v>45</v>
      </c>
      <c r="O293" s="2"/>
      <c r="P293" s="4" t="str">
        <f t="shared" si="34"/>
        <v>Abrir enlace</v>
      </c>
      <c r="Q293" s="2"/>
      <c r="R293" s="2"/>
      <c r="S293" s="2"/>
      <c r="T293" s="2"/>
      <c r="U293" s="2"/>
      <c r="V293" s="2"/>
      <c r="W293" s="2"/>
      <c r="X293" s="2"/>
      <c r="Y293" s="2"/>
      <c r="Z293" s="2"/>
      <c r="AA293" s="2" t="s">
        <v>40</v>
      </c>
      <c r="AB293" s="2" t="s">
        <v>41</v>
      </c>
      <c r="AC293" s="2" t="s">
        <v>907</v>
      </c>
      <c r="AD293" s="2"/>
      <c r="AE293" s="2"/>
    </row>
    <row r="294" ht="15.75" customHeight="1">
      <c r="A294" s="2">
        <v>294.0</v>
      </c>
      <c r="B294" s="2" t="s">
        <v>903</v>
      </c>
      <c r="C294" s="2" t="s">
        <v>904</v>
      </c>
      <c r="D294" s="2" t="s">
        <v>33</v>
      </c>
      <c r="E294" s="2" t="s">
        <v>64</v>
      </c>
      <c r="F294" s="2" t="s">
        <v>174</v>
      </c>
      <c r="G294" s="2" t="s">
        <v>907</v>
      </c>
      <c r="H294" s="2" t="s">
        <v>34</v>
      </c>
      <c r="I294" s="2" t="s">
        <v>36</v>
      </c>
      <c r="J294" s="2" t="s">
        <v>37</v>
      </c>
      <c r="K294" s="4" t="str">
        <f t="shared" si="33"/>
        <v>Abrir enlace</v>
      </c>
      <c r="L294" s="2" t="s">
        <v>906</v>
      </c>
      <c r="M294" s="2"/>
      <c r="N294" s="2" t="s">
        <v>45</v>
      </c>
      <c r="O294" s="2"/>
      <c r="P294" s="4" t="str">
        <f t="shared" si="34"/>
        <v>Abrir enlace</v>
      </c>
      <c r="Q294" s="2"/>
      <c r="R294" s="2"/>
      <c r="S294" s="2"/>
      <c r="T294" s="2"/>
      <c r="U294" s="2"/>
      <c r="V294" s="2"/>
      <c r="W294" s="2"/>
      <c r="X294" s="2"/>
      <c r="Y294" s="2"/>
      <c r="Z294" s="2"/>
      <c r="AA294" s="2" t="s">
        <v>40</v>
      </c>
      <c r="AB294" s="2" t="s">
        <v>41</v>
      </c>
      <c r="AC294" s="2" t="s">
        <v>907</v>
      </c>
      <c r="AD294" s="2"/>
      <c r="AE294" s="2"/>
    </row>
    <row r="295" ht="15.75" customHeight="1">
      <c r="A295" s="2">
        <v>295.0</v>
      </c>
      <c r="B295" s="2" t="s">
        <v>908</v>
      </c>
      <c r="C295" s="2" t="s">
        <v>909</v>
      </c>
      <c r="D295" s="2" t="s">
        <v>33</v>
      </c>
      <c r="E295" s="2" t="s">
        <v>64</v>
      </c>
      <c r="F295" s="3" t="s">
        <v>35</v>
      </c>
      <c r="G295" s="2"/>
      <c r="H295" s="2" t="s">
        <v>64</v>
      </c>
      <c r="I295" s="2" t="s">
        <v>36</v>
      </c>
      <c r="J295" s="2" t="s">
        <v>37</v>
      </c>
      <c r="K295" s="4" t="str">
        <f>HYPERLINK("https://openlibrary.org/works/OL11390549W","Abrir enlace")</f>
        <v>Abrir enlace</v>
      </c>
      <c r="L295" s="2" t="s">
        <v>910</v>
      </c>
      <c r="M295" s="2"/>
      <c r="N295" s="2" t="s">
        <v>45</v>
      </c>
      <c r="O295" s="2"/>
      <c r="P295" s="4" t="str">
        <f>HYPERLINK("https://openlibrary.org/works/OL11390549W","Abrir enlace")</f>
        <v>Abrir enlace</v>
      </c>
      <c r="Q295" s="2"/>
      <c r="R295" s="2"/>
      <c r="S295" s="2"/>
      <c r="T295" s="2"/>
      <c r="U295" s="2"/>
      <c r="V295" s="2"/>
      <c r="W295" s="2"/>
      <c r="X295" s="2"/>
      <c r="Y295" s="2"/>
      <c r="Z295" s="2"/>
      <c r="AA295" s="2" t="s">
        <v>60</v>
      </c>
      <c r="AB295" s="2" t="s">
        <v>67</v>
      </c>
      <c r="AC295" s="2"/>
      <c r="AD295" s="2"/>
      <c r="AE295" s="2"/>
    </row>
    <row r="296" ht="15.75" customHeight="1">
      <c r="A296" s="2">
        <v>296.0</v>
      </c>
      <c r="B296" s="2" t="s">
        <v>911</v>
      </c>
      <c r="C296" s="2"/>
      <c r="D296" s="2" t="s">
        <v>165</v>
      </c>
      <c r="E296" s="2" t="s">
        <v>64</v>
      </c>
      <c r="F296" s="3" t="s">
        <v>35</v>
      </c>
      <c r="G296" s="2"/>
      <c r="H296" s="2" t="s">
        <v>64</v>
      </c>
      <c r="I296" s="2" t="s">
        <v>36</v>
      </c>
      <c r="J296" s="2" t="s">
        <v>37</v>
      </c>
      <c r="K296" s="4" t="str">
        <f>HYPERLINK("https://archive.org/details/etongreekgramma00ddgoog","Abrir enlace")</f>
        <v>Abrir enlace</v>
      </c>
      <c r="L296" s="2" t="s">
        <v>912</v>
      </c>
      <c r="M296" s="2"/>
      <c r="N296" s="2" t="s">
        <v>54</v>
      </c>
      <c r="O296" s="2"/>
      <c r="P296" s="4" t="str">
        <f>HYPERLINK("https://archive.org/details/etongreekgramma00ddgoog","Abrir enlace")</f>
        <v>Abrir enlace</v>
      </c>
      <c r="Q296" s="2"/>
      <c r="R296" s="2"/>
      <c r="S296" s="2"/>
      <c r="T296" s="2"/>
      <c r="U296" s="2"/>
      <c r="V296" s="2"/>
      <c r="W296" s="2"/>
      <c r="X296" s="2"/>
      <c r="Y296" s="2"/>
      <c r="Z296" s="2"/>
      <c r="AA296" s="2" t="s">
        <v>66</v>
      </c>
      <c r="AB296" s="2" t="s">
        <v>67</v>
      </c>
      <c r="AC296" s="2"/>
      <c r="AD296" s="2"/>
      <c r="AE296" s="2"/>
    </row>
    <row r="297" ht="15.75" customHeight="1">
      <c r="A297" s="2">
        <v>297.0</v>
      </c>
      <c r="B297" s="2" t="s">
        <v>913</v>
      </c>
      <c r="C297" s="2" t="s">
        <v>914</v>
      </c>
      <c r="D297" s="2" t="s">
        <v>49</v>
      </c>
      <c r="E297" s="2" t="s">
        <v>64</v>
      </c>
      <c r="F297" s="2" t="s">
        <v>35</v>
      </c>
      <c r="G297" s="2"/>
      <c r="H297" s="2" t="s">
        <v>64</v>
      </c>
      <c r="I297" s="2" t="s">
        <v>36</v>
      </c>
      <c r="J297" s="2" t="s">
        <v>915</v>
      </c>
      <c r="K297" s="4" t="str">
        <f>HYPERLINK("https://es.scribd.com/document/455489831/Reflexiones-sobre-el-modo-de-ensenar-el-idioma-latino","Abrir enlace")</f>
        <v>Abrir enlace</v>
      </c>
      <c r="L297" s="2" t="s">
        <v>916</v>
      </c>
      <c r="M297" s="2"/>
      <c r="N297" s="2" t="s">
        <v>91</v>
      </c>
      <c r="O297" s="2" t="s">
        <v>917</v>
      </c>
      <c r="P297" s="4" t="str">
        <f>HYPERLINK("https://es.scribd.com/document/455489831/Reflexiones-sobre-el-modo-de-ensenar-el-idioma-latino","Abrir enlace")</f>
        <v>Abrir enlace</v>
      </c>
      <c r="Q297" s="2" t="s">
        <v>918</v>
      </c>
      <c r="R297" s="2"/>
      <c r="S297" s="2" t="s">
        <v>91</v>
      </c>
      <c r="T297" s="2" t="s">
        <v>919</v>
      </c>
      <c r="U297" s="4" t="str">
        <f>HYPERLINK("https://ia800802.us.archive.org/14/items/instrucciondelal00orel/instrucciondelal00orel_djvu.txt","Abrir enlace")</f>
        <v>Abrir enlace</v>
      </c>
      <c r="V297" s="2" t="s">
        <v>920</v>
      </c>
      <c r="W297" s="2"/>
      <c r="X297" s="2" t="s">
        <v>91</v>
      </c>
      <c r="Y297" s="2" t="s">
        <v>921</v>
      </c>
      <c r="Z297" s="4" t="str">
        <f>HYPERLINK("https://es.scribd.com/document/718501978/Sobre-el-oficio-de-ensenar-Didactica-compromiso-y-reflexion-RESENA","Abrir enlace")</f>
        <v>Abrir enlace</v>
      </c>
      <c r="AA297" s="2"/>
      <c r="AB297" s="2"/>
      <c r="AC297" s="2"/>
      <c r="AD297" s="2"/>
      <c r="AE297" s="2"/>
    </row>
    <row r="298" ht="15.75" customHeight="1">
      <c r="A298" s="2">
        <v>298.0</v>
      </c>
      <c r="B298" s="2" t="s">
        <v>922</v>
      </c>
      <c r="C298" s="2" t="s">
        <v>923</v>
      </c>
      <c r="D298" s="2" t="s">
        <v>99</v>
      </c>
      <c r="E298" s="2" t="s">
        <v>70</v>
      </c>
      <c r="F298" s="2" t="s">
        <v>35</v>
      </c>
      <c r="G298" s="2"/>
      <c r="H298" s="2" t="s">
        <v>70</v>
      </c>
      <c r="I298" s="2" t="s">
        <v>36</v>
      </c>
      <c r="J298" s="2" t="s">
        <v>924</v>
      </c>
      <c r="K298" s="4" t="str">
        <f>HYPERLINK("https://www.biblio.com/book/el-nio-ilustrado-los-verdaderos-principios/d/1601328681","Abrir enlace")</f>
        <v>Abrir enlace</v>
      </c>
      <c r="L298" s="2" t="s">
        <v>925</v>
      </c>
      <c r="M298" s="2"/>
      <c r="N298" s="2" t="s">
        <v>91</v>
      </c>
      <c r="O298" s="2" t="s">
        <v>926</v>
      </c>
      <c r="P298" s="4" t="str">
        <f>HYPERLINK("https://www.biblio.com/book/el-nio-ilustrado-los-verdaderos-principios/d/1601328681","Abrir enlace")</f>
        <v>Abrir enlace</v>
      </c>
      <c r="Q298" s="2" t="s">
        <v>927</v>
      </c>
      <c r="R298" s="2"/>
      <c r="S298" s="2" t="s">
        <v>91</v>
      </c>
      <c r="T298" s="2" t="s">
        <v>928</v>
      </c>
      <c r="U298" s="4" t="str">
        <f>HYPERLINK("https://www.iberlibro.com/buscar-libro/autor/palacios-de-la-asunci�n-inocente/","Abrir enlace")</f>
        <v>Abrir enlace</v>
      </c>
      <c r="V298" s="2" t="s">
        <v>929</v>
      </c>
      <c r="W298" s="2"/>
      <c r="X298" s="2" t="s">
        <v>91</v>
      </c>
      <c r="Y298" s="2" t="s">
        <v>930</v>
      </c>
      <c r="Z298" s="4" t="str">
        <f>HYPERLINK("https://www.youtube.com/watch?v=Fxu4u9lsedY","Abrir enlace")</f>
        <v>Abrir enlace</v>
      </c>
      <c r="AA298" s="2"/>
      <c r="AB298" s="2"/>
      <c r="AC298" s="2"/>
      <c r="AD298" s="2"/>
      <c r="AE298" s="2"/>
    </row>
    <row r="299" ht="15.75" customHeight="1">
      <c r="A299" s="2">
        <v>299.0</v>
      </c>
      <c r="B299" s="2" t="s">
        <v>931</v>
      </c>
      <c r="C299" s="2" t="s">
        <v>932</v>
      </c>
      <c r="D299" s="2" t="s">
        <v>33</v>
      </c>
      <c r="E299" s="2" t="s">
        <v>64</v>
      </c>
      <c r="F299" s="2" t="s">
        <v>35</v>
      </c>
      <c r="G299" s="2"/>
      <c r="H299" s="2" t="s">
        <v>64</v>
      </c>
      <c r="I299" s="2" t="s">
        <v>168</v>
      </c>
      <c r="J299" s="2" t="s">
        <v>933</v>
      </c>
      <c r="K299" s="4" t="str">
        <f>HYPERLINK("https://www.reseau-canope.fr/musee/collections/en/museum/mne/les-auteurs-grecs-expliques-d-apres-une-methode-nouvelle-par-deux-traductions-francaises-saint-jean-chrysostome-homelie"&amp;"-en-faveur-d-eutrope/62882e29c07506d9ad8c3e46","Abrir enlace")</f>
        <v>Abrir enlace</v>
      </c>
      <c r="L299" s="2" t="s">
        <v>934</v>
      </c>
      <c r="M299" s="2"/>
      <c r="N299" s="2" t="s">
        <v>91</v>
      </c>
      <c r="O299" s="2" t="s">
        <v>935</v>
      </c>
      <c r="P299" s="4" t="str">
        <f>HYPERLINK("https://www.reseau-canope.fr/musee/collections/en/museum/mne/les-auteurs-grecs-expliques-d-apres-une-methode-nouvelle-par-deux-traductions-francaises-saint-jean-chrysostome-homelie"&amp;"-en-faveur-d-eutrope/62882e29c07506d9ad8c3e46","Abrir enlace")</f>
        <v>Abrir enlace</v>
      </c>
      <c r="Q299" s="2" t="s">
        <v>936</v>
      </c>
      <c r="R299" s="2"/>
      <c r="S299" s="2" t="s">
        <v>91</v>
      </c>
      <c r="T299" s="2" t="s">
        <v>755</v>
      </c>
      <c r="U299" s="4" t="str">
        <f>HYPERLINK("https://www.iberlibro.com/Auteurs-Grecs-Jean-Chrysostome-Homélie-Eutrope/12418528669/bd","Abrir enlace")</f>
        <v>Abrir enlace</v>
      </c>
      <c r="V299" s="2" t="s">
        <v>937</v>
      </c>
      <c r="W299" s="2"/>
      <c r="X299" s="2" t="s">
        <v>91</v>
      </c>
      <c r="Y299" s="2" t="s">
        <v>938</v>
      </c>
      <c r="Z299" s="4" t="str">
        <f>HYPERLINK("https://levigilant.com/documents/jean_chrisostome.html","Abrir enlace")</f>
        <v>Abrir enlace</v>
      </c>
      <c r="AA299" s="2"/>
      <c r="AB299" s="2"/>
      <c r="AC299" s="2"/>
      <c r="AD299" s="2"/>
      <c r="AE299" s="2"/>
    </row>
    <row r="300" ht="15.75" customHeight="1">
      <c r="A300" s="2">
        <v>300.0</v>
      </c>
      <c r="B300" s="2" t="s">
        <v>939</v>
      </c>
      <c r="C300" s="2" t="s">
        <v>940</v>
      </c>
      <c r="D300" s="2" t="s">
        <v>33</v>
      </c>
      <c r="E300" s="2" t="s">
        <v>64</v>
      </c>
      <c r="F300" s="3" t="s">
        <v>35</v>
      </c>
      <c r="G300" s="2"/>
      <c r="H300" s="2" t="s">
        <v>64</v>
      </c>
      <c r="I300" s="2" t="s">
        <v>168</v>
      </c>
      <c r="J300" s="2" t="s">
        <v>941</v>
      </c>
      <c r="K300" s="4" t="str">
        <f>HYPERLINK("https://openlibrary.org/works/OL11448433W","Abrir enlace")</f>
        <v>Abrir enlace</v>
      </c>
      <c r="L300" s="2" t="s">
        <v>939</v>
      </c>
      <c r="M300" s="2"/>
      <c r="N300" s="2" t="s">
        <v>45</v>
      </c>
      <c r="O300" s="2"/>
      <c r="P300" s="4" t="str">
        <f>HYPERLINK("https://openlibrary.org/works/OL11448433W","Abrir enlace")</f>
        <v>Abrir enlace</v>
      </c>
      <c r="Q300" s="2"/>
      <c r="R300" s="2"/>
      <c r="S300" s="2"/>
      <c r="T300" s="2"/>
      <c r="U300" s="2"/>
      <c r="V300" s="2"/>
      <c r="W300" s="2"/>
      <c r="X300" s="2"/>
      <c r="Y300" s="2"/>
      <c r="Z300" s="2"/>
      <c r="AA300" s="2" t="s">
        <v>66</v>
      </c>
      <c r="AB300" s="2" t="s">
        <v>395</v>
      </c>
      <c r="AC300" s="2"/>
      <c r="AD300" s="2"/>
      <c r="AE300" s="2"/>
    </row>
    <row r="301" ht="15.75" customHeight="1">
      <c r="A301" s="2">
        <v>301.0</v>
      </c>
      <c r="B301" s="2" t="s">
        <v>942</v>
      </c>
      <c r="C301" s="2" t="s">
        <v>943</v>
      </c>
      <c r="D301" s="2" t="s">
        <v>33</v>
      </c>
      <c r="E301" s="2" t="s">
        <v>70</v>
      </c>
      <c r="F301" s="3" t="s">
        <v>35</v>
      </c>
      <c r="G301" s="2"/>
      <c r="H301" s="2" t="s">
        <v>70</v>
      </c>
      <c r="I301" s="2" t="s">
        <v>36</v>
      </c>
      <c r="J301" s="2" t="s">
        <v>944</v>
      </c>
      <c r="K301" s="4" t="str">
        <f>HYPERLINK("https://archive.org/details/2573037R.nlm.nih.gov","Abrir enlace")</f>
        <v>Abrir enlace</v>
      </c>
      <c r="L301" s="2" t="s">
        <v>942</v>
      </c>
      <c r="M301" s="2"/>
      <c r="N301" s="2" t="s">
        <v>54</v>
      </c>
      <c r="O301" s="2"/>
      <c r="P301" s="4" t="str">
        <f>HYPERLINK("https://archive.org/details/2573037R.nlm.nih.gov","Abrir enlace")</f>
        <v>Abrir enlace</v>
      </c>
      <c r="Q301" s="2"/>
      <c r="R301" s="2"/>
      <c r="S301" s="2"/>
      <c r="T301" s="2"/>
      <c r="U301" s="2"/>
      <c r="V301" s="2"/>
      <c r="W301" s="2"/>
      <c r="X301" s="2"/>
      <c r="Y301" s="2"/>
      <c r="Z301" s="2"/>
      <c r="AA301" s="2" t="s">
        <v>66</v>
      </c>
      <c r="AB301" s="2" t="s">
        <v>945</v>
      </c>
      <c r="AC301" s="2"/>
      <c r="AD301" s="2"/>
      <c r="AE301" s="2"/>
    </row>
    <row r="302" ht="15.75" customHeight="1">
      <c r="A302" s="2">
        <v>302.0</v>
      </c>
      <c r="B302" s="2" t="s">
        <v>946</v>
      </c>
      <c r="C302" s="2" t="s">
        <v>947</v>
      </c>
      <c r="D302" s="2" t="s">
        <v>33</v>
      </c>
      <c r="E302" s="2" t="s">
        <v>64</v>
      </c>
      <c r="F302" s="2" t="s">
        <v>35</v>
      </c>
      <c r="G302" s="2"/>
      <c r="H302" s="2" t="s">
        <v>64</v>
      </c>
      <c r="I302" s="2" t="s">
        <v>36</v>
      </c>
      <c r="J302" s="2" t="s">
        <v>948</v>
      </c>
      <c r="K302" s="4" t="str">
        <f>HYPERLINK("https://www.forgottenbooks.com/en/books/Poesias_1400000890","Abrir enlace")</f>
        <v>Abrir enlace</v>
      </c>
      <c r="L302" s="2" t="s">
        <v>949</v>
      </c>
      <c r="M302" s="2"/>
      <c r="N302" s="2" t="s">
        <v>91</v>
      </c>
      <c r="O302" s="2" t="s">
        <v>950</v>
      </c>
      <c r="P302" s="4" t="str">
        <f>HYPERLINK("https://www.forgottenbooks.com/en/books/Poesias_1400000890","Abrir enlace")</f>
        <v>Abrir enlace</v>
      </c>
      <c r="Q302" s="2" t="s">
        <v>951</v>
      </c>
      <c r="R302" s="2"/>
      <c r="S302" s="2" t="s">
        <v>91</v>
      </c>
      <c r="T302" s="2" t="s">
        <v>952</v>
      </c>
      <c r="U302" s="4" t="str">
        <f>HYPERLINK("https://books.google.com/books/about/Poesías.html?id=CoEzw_UvNfUC","Abrir enlace")</f>
        <v>Abrir enlace</v>
      </c>
      <c r="V302" s="2" t="s">
        <v>953</v>
      </c>
      <c r="W302" s="2"/>
      <c r="X302" s="2" t="s">
        <v>91</v>
      </c>
      <c r="Y302" s="2" t="s">
        <v>954</v>
      </c>
      <c r="Z302" s="4" t="str">
        <f>HYPERLINK("https://archive.org/details/poesas02cagoog","Abrir enlace")</f>
        <v>Abrir enlace</v>
      </c>
      <c r="AA302" s="2"/>
      <c r="AB302" s="2"/>
      <c r="AC302" s="2"/>
      <c r="AD302" s="2"/>
      <c r="AE302" s="2"/>
    </row>
    <row r="303" ht="15.75" customHeight="1">
      <c r="A303" s="2">
        <v>303.0</v>
      </c>
      <c r="B303" s="2" t="s">
        <v>955</v>
      </c>
      <c r="C303" s="2" t="s">
        <v>956</v>
      </c>
      <c r="D303" s="2" t="s">
        <v>33</v>
      </c>
      <c r="E303" s="2" t="s">
        <v>64</v>
      </c>
      <c r="F303" s="3" t="s">
        <v>35</v>
      </c>
      <c r="G303" s="2"/>
      <c r="H303" s="2" t="s">
        <v>64</v>
      </c>
      <c r="I303" s="2" t="s">
        <v>36</v>
      </c>
      <c r="J303" s="2" t="s">
        <v>37</v>
      </c>
      <c r="K303" s="4" t="str">
        <f>HYPERLINK("https://openlibrary.org/works/OL15237229W","Abrir enlace")</f>
        <v>Abrir enlace</v>
      </c>
      <c r="L303" s="2" t="s">
        <v>955</v>
      </c>
      <c r="M303" s="2"/>
      <c r="N303" s="2" t="s">
        <v>45</v>
      </c>
      <c r="O303" s="2"/>
      <c r="P303" s="4" t="str">
        <f>HYPERLINK("https://openlibrary.org/works/OL15237229W","Abrir enlace")</f>
        <v>Abrir enlace</v>
      </c>
      <c r="Q303" s="2"/>
      <c r="R303" s="2"/>
      <c r="S303" s="2"/>
      <c r="T303" s="2"/>
      <c r="U303" s="2"/>
      <c r="V303" s="2"/>
      <c r="W303" s="2"/>
      <c r="X303" s="2"/>
      <c r="Y303" s="2"/>
      <c r="Z303" s="2"/>
      <c r="AA303" s="2" t="s">
        <v>46</v>
      </c>
      <c r="AB303" s="2" t="s">
        <v>67</v>
      </c>
      <c r="AC303" s="2"/>
      <c r="AD303" s="2"/>
      <c r="AE303" s="2"/>
    </row>
    <row r="304" ht="15.75" customHeight="1">
      <c r="A304" s="2">
        <v>304.0</v>
      </c>
      <c r="B304" s="2" t="s">
        <v>741</v>
      </c>
      <c r="C304" s="2" t="s">
        <v>957</v>
      </c>
      <c r="D304" s="2" t="s">
        <v>33</v>
      </c>
      <c r="E304" s="2" t="s">
        <v>34</v>
      </c>
      <c r="F304" s="2" t="s">
        <v>35</v>
      </c>
      <c r="G304" s="2"/>
      <c r="H304" s="2" t="s">
        <v>34</v>
      </c>
      <c r="I304" s="2" t="s">
        <v>36</v>
      </c>
      <c r="J304" s="2" t="s">
        <v>958</v>
      </c>
      <c r="K304" s="4" t="str">
        <f>HYPERLINK("https://rarebookinsider.com/rare-books/cornelli-nepotis-vitae-excellentium-imperatorum/","Abrir enlace")</f>
        <v>Abrir enlace</v>
      </c>
      <c r="L304" s="2" t="s">
        <v>959</v>
      </c>
      <c r="M304" s="2"/>
      <c r="N304" s="2" t="s">
        <v>91</v>
      </c>
      <c r="O304" s="2" t="s">
        <v>960</v>
      </c>
      <c r="P304" s="4" t="str">
        <f>HYPERLINK("https://rarebookinsider.com/rare-books/cornelli-nepotis-vitae-excellentium-imperatorum/","Abrir enlace")</f>
        <v>Abrir enlace</v>
      </c>
      <c r="Q304" s="2" t="s">
        <v>961</v>
      </c>
      <c r="R304" s="2"/>
      <c r="S304" s="2" t="s">
        <v>91</v>
      </c>
      <c r="T304" s="2" t="s">
        <v>962</v>
      </c>
      <c r="U304" s="4" t="str">
        <f>HYPERLINK("https://lordslibrary.aspendiscovery.co.uk/Record/20668","Abrir enlace")</f>
        <v>Abrir enlace</v>
      </c>
      <c r="V304" s="2" t="s">
        <v>963</v>
      </c>
      <c r="W304" s="2"/>
      <c r="X304" s="2" t="s">
        <v>91</v>
      </c>
      <c r="Y304" s="2" t="s">
        <v>964</v>
      </c>
      <c r="Z304" s="4" t="str">
        <f>HYPERLINK("https://www.ebay.com/itm/393615537650","Abrir enlace")</f>
        <v>Abrir enlace</v>
      </c>
      <c r="AA304" s="2"/>
      <c r="AB304" s="2"/>
      <c r="AC304" s="2"/>
      <c r="AD304" s="2"/>
      <c r="AE304" s="2"/>
    </row>
    <row r="305" ht="15.75" customHeight="1">
      <c r="A305" s="2">
        <v>305.0</v>
      </c>
      <c r="B305" s="2" t="s">
        <v>965</v>
      </c>
      <c r="C305" s="2" t="s">
        <v>966</v>
      </c>
      <c r="D305" s="2" t="s">
        <v>33</v>
      </c>
      <c r="E305" s="2" t="s">
        <v>64</v>
      </c>
      <c r="F305" s="2" t="s">
        <v>35</v>
      </c>
      <c r="G305" s="2"/>
      <c r="H305" s="2" t="s">
        <v>64</v>
      </c>
      <c r="I305" s="2" t="s">
        <v>168</v>
      </c>
      <c r="J305" s="2" t="s">
        <v>967</v>
      </c>
      <c r="K305" s="4" t="str">
        <f>HYPERLINK("https://www.studiobenacense.it/libri/opere-volgari/","Abrir enlace")</f>
        <v>Abrir enlace</v>
      </c>
      <c r="L305" s="2" t="s">
        <v>968</v>
      </c>
      <c r="M305" s="2"/>
      <c r="N305" s="2" t="s">
        <v>91</v>
      </c>
      <c r="O305" s="2" t="s">
        <v>804</v>
      </c>
      <c r="P305" s="4" t="str">
        <f>HYPERLINK("https://www.studiobenacense.it/libri/opere-volgari/","Abrir enlace")</f>
        <v>Abrir enlace</v>
      </c>
      <c r="Q305" s="2" t="s">
        <v>969</v>
      </c>
      <c r="R305" s="2"/>
      <c r="S305" s="2" t="s">
        <v>91</v>
      </c>
      <c r="T305" s="2" t="s">
        <v>970</v>
      </c>
      <c r="U305" s="4" t="str">
        <f>HYPERLINK("https://www.zvab.com/buch-suchen/titel/opere-volgari/autor/farsetti-tommaso-giuseppe/","Abrir enlace")</f>
        <v>Abrir enlace</v>
      </c>
      <c r="V305" s="2" t="s">
        <v>971</v>
      </c>
      <c r="W305" s="2"/>
      <c r="X305" s="2" t="s">
        <v>91</v>
      </c>
      <c r="Y305" s="2" t="s">
        <v>972</v>
      </c>
      <c r="Z305" s="4" t="str">
        <f>HYPERLINK("https://www.iberlibro.com/primera-edicion/Opere-volgari-FARSETTI-TOMMASO-GIUSEPPE-Appresso/31585781965/bd","Abrir enlace")</f>
        <v>Abrir enlace</v>
      </c>
      <c r="AA305" s="2"/>
      <c r="AB305" s="2"/>
      <c r="AC305" s="2"/>
      <c r="AD305" s="2"/>
      <c r="AE305" s="2"/>
    </row>
    <row r="306" ht="15.75" customHeight="1">
      <c r="A306" s="2">
        <v>306.0</v>
      </c>
      <c r="B306" s="2" t="s">
        <v>973</v>
      </c>
      <c r="C306" s="2" t="s">
        <v>974</v>
      </c>
      <c r="D306" s="2" t="s">
        <v>33</v>
      </c>
      <c r="E306" s="2" t="s">
        <v>34</v>
      </c>
      <c r="F306" s="3" t="s">
        <v>35</v>
      </c>
      <c r="G306" s="2"/>
      <c r="H306" s="2" t="s">
        <v>34</v>
      </c>
      <c r="I306" s="2" t="s">
        <v>168</v>
      </c>
      <c r="J306" s="2" t="s">
        <v>975</v>
      </c>
      <c r="K306" s="4" t="str">
        <f>HYPERLINK("https://openlibrary.org/works/OL17359799W","Abrir enlace")</f>
        <v>Abrir enlace</v>
      </c>
      <c r="L306" s="2" t="s">
        <v>973</v>
      </c>
      <c r="M306" s="2"/>
      <c r="N306" s="2" t="s">
        <v>45</v>
      </c>
      <c r="O306" s="2"/>
      <c r="P306" s="4" t="str">
        <f>HYPERLINK("https://openlibrary.org/works/OL17359799W","Abrir enlace")</f>
        <v>Abrir enlace</v>
      </c>
      <c r="Q306" s="2"/>
      <c r="R306" s="2"/>
      <c r="S306" s="2"/>
      <c r="T306" s="2"/>
      <c r="U306" s="2"/>
      <c r="V306" s="2"/>
      <c r="W306" s="2"/>
      <c r="X306" s="2"/>
      <c r="Y306" s="2"/>
      <c r="Z306" s="2"/>
      <c r="AA306" s="2" t="s">
        <v>46</v>
      </c>
      <c r="AB306" s="2" t="s">
        <v>976</v>
      </c>
      <c r="AC306" s="2"/>
      <c r="AD306" s="2"/>
      <c r="AE306" s="2"/>
    </row>
    <row r="307" ht="15.75" customHeight="1">
      <c r="A307" s="2">
        <v>307.0</v>
      </c>
      <c r="B307" s="2" t="s">
        <v>977</v>
      </c>
      <c r="C307" s="2"/>
      <c r="D307" s="2" t="s">
        <v>165</v>
      </c>
      <c r="E307" s="2" t="s">
        <v>64</v>
      </c>
      <c r="F307" s="3" t="s">
        <v>35</v>
      </c>
      <c r="G307" s="2"/>
      <c r="H307" s="2" t="s">
        <v>64</v>
      </c>
      <c r="I307" s="2" t="s">
        <v>36</v>
      </c>
      <c r="J307" s="2" t="s">
        <v>978</v>
      </c>
      <c r="K307" s="4" t="str">
        <f>HYPERLINK("https://openlibrary.org/works/OL16986845M","Abrir enlace")</f>
        <v>Abrir enlace</v>
      </c>
      <c r="L307" s="2" t="s">
        <v>979</v>
      </c>
      <c r="M307" s="2"/>
      <c r="N307" s="2" t="s">
        <v>45</v>
      </c>
      <c r="O307" s="2"/>
      <c r="P307" s="4" t="str">
        <f>HYPERLINK("https://openlibrary.org/works/OL16986845M","Abrir enlace")</f>
        <v>Abrir enlace</v>
      </c>
      <c r="Q307" s="2"/>
      <c r="R307" s="2"/>
      <c r="S307" s="2"/>
      <c r="T307" s="2"/>
      <c r="U307" s="2"/>
      <c r="V307" s="2"/>
      <c r="W307" s="2"/>
      <c r="X307" s="2"/>
      <c r="Y307" s="2"/>
      <c r="Z307" s="2"/>
      <c r="AA307" s="2" t="s">
        <v>46</v>
      </c>
      <c r="AB307" s="2" t="s">
        <v>258</v>
      </c>
      <c r="AC307" s="2"/>
      <c r="AD307" s="2"/>
      <c r="AE307" s="2"/>
    </row>
    <row r="308" ht="15.75" customHeight="1">
      <c r="A308" s="2">
        <v>308.0</v>
      </c>
      <c r="B308" s="2" t="s">
        <v>980</v>
      </c>
      <c r="C308" s="2" t="s">
        <v>981</v>
      </c>
      <c r="D308" s="2" t="s">
        <v>33</v>
      </c>
      <c r="E308" s="2" t="s">
        <v>64</v>
      </c>
      <c r="F308" s="3" t="s">
        <v>35</v>
      </c>
      <c r="G308" s="2"/>
      <c r="H308" s="2" t="s">
        <v>64</v>
      </c>
      <c r="I308" s="2" t="s">
        <v>36</v>
      </c>
      <c r="J308" s="2" t="s">
        <v>37</v>
      </c>
      <c r="K308" s="4" t="str">
        <f>HYPERLINK("https://archive.org/details/thewitchofrosenb00wiseuoft","Abrir enlace")</f>
        <v>Abrir enlace</v>
      </c>
      <c r="L308" s="2" t="s">
        <v>982</v>
      </c>
      <c r="M308" s="2"/>
      <c r="N308" s="2" t="s">
        <v>54</v>
      </c>
      <c r="O308" s="2"/>
      <c r="P308" s="4" t="str">
        <f>HYPERLINK("https://archive.org/details/thewitchofrosenb00wiseuoft","Abrir enlace")</f>
        <v>Abrir enlace</v>
      </c>
      <c r="Q308" s="2"/>
      <c r="R308" s="2"/>
      <c r="S308" s="2"/>
      <c r="T308" s="2"/>
      <c r="U308" s="2"/>
      <c r="V308" s="2"/>
      <c r="W308" s="2"/>
      <c r="X308" s="2"/>
      <c r="Y308" s="2"/>
      <c r="Z308" s="2"/>
      <c r="AA308" s="2" t="s">
        <v>66</v>
      </c>
      <c r="AB308" s="2" t="s">
        <v>67</v>
      </c>
      <c r="AC308" s="2"/>
      <c r="AD308" s="2"/>
      <c r="AE308" s="2"/>
    </row>
    <row r="309" ht="15.75" customHeight="1">
      <c r="A309" s="2">
        <v>309.0</v>
      </c>
      <c r="B309" s="2" t="s">
        <v>983</v>
      </c>
      <c r="C309" s="2" t="s">
        <v>984</v>
      </c>
      <c r="D309" s="2" t="s">
        <v>33</v>
      </c>
      <c r="E309" s="2" t="s">
        <v>64</v>
      </c>
      <c r="F309" s="3" t="s">
        <v>35</v>
      </c>
      <c r="G309" s="2"/>
      <c r="H309" s="2" t="s">
        <v>64</v>
      </c>
      <c r="I309" s="2" t="s">
        <v>36</v>
      </c>
      <c r="J309" s="2" t="s">
        <v>37</v>
      </c>
      <c r="K309" s="4" t="str">
        <f>HYPERLINK("https://archive.org/details/oeuvresdefrabel01rabegoog","Abrir enlace")</f>
        <v>Abrir enlace</v>
      </c>
      <c r="L309" s="2" t="s">
        <v>983</v>
      </c>
      <c r="M309" s="2"/>
      <c r="N309" s="2" t="s">
        <v>54</v>
      </c>
      <c r="O309" s="2"/>
      <c r="P309" s="4" t="str">
        <f>HYPERLINK("https://archive.org/details/oeuvresdefrabel01rabegoog","Abrir enlace")</f>
        <v>Abrir enlace</v>
      </c>
      <c r="Q309" s="2"/>
      <c r="R309" s="2"/>
      <c r="S309" s="2"/>
      <c r="T309" s="2"/>
      <c r="U309" s="2"/>
      <c r="V309" s="2"/>
      <c r="W309" s="2"/>
      <c r="X309" s="2"/>
      <c r="Y309" s="2"/>
      <c r="Z309" s="2"/>
      <c r="AA309" s="2" t="s">
        <v>40</v>
      </c>
      <c r="AB309" s="2" t="s">
        <v>67</v>
      </c>
      <c r="AC309" s="2"/>
      <c r="AD309" s="2"/>
      <c r="AE309" s="2"/>
    </row>
    <row r="310" ht="15.75" customHeight="1">
      <c r="A310" s="2">
        <v>310.0</v>
      </c>
      <c r="B310" s="2" t="s">
        <v>985</v>
      </c>
      <c r="C310" s="2"/>
      <c r="D310" s="2" t="s">
        <v>165</v>
      </c>
      <c r="E310" s="2" t="s">
        <v>64</v>
      </c>
      <c r="F310" s="3" t="s">
        <v>35</v>
      </c>
      <c r="G310" s="2"/>
      <c r="H310" s="2" t="s">
        <v>64</v>
      </c>
      <c r="I310" s="2" t="s">
        <v>168</v>
      </c>
      <c r="J310" s="2" t="s">
        <v>986</v>
      </c>
      <c r="K310" s="4" t="str">
        <f>HYPERLINK("https://archive.org/details/triumphoffailure00sheeuoft","Abrir enlace")</f>
        <v>Abrir enlace</v>
      </c>
      <c r="L310" s="2" t="s">
        <v>985</v>
      </c>
      <c r="M310" s="2"/>
      <c r="N310" s="2" t="s">
        <v>54</v>
      </c>
      <c r="O310" s="2"/>
      <c r="P310" s="4" t="str">
        <f>HYPERLINK("https://archive.org/details/triumphoffailure00sheeuoft","Abrir enlace")</f>
        <v>Abrir enlace</v>
      </c>
      <c r="Q310" s="2"/>
      <c r="R310" s="2"/>
      <c r="S310" s="2"/>
      <c r="T310" s="2"/>
      <c r="U310" s="2"/>
      <c r="V310" s="2"/>
      <c r="W310" s="2"/>
      <c r="X310" s="2"/>
      <c r="Y310" s="2"/>
      <c r="Z310" s="2"/>
      <c r="AA310" s="2" t="s">
        <v>66</v>
      </c>
      <c r="AB310" s="2" t="s">
        <v>150</v>
      </c>
      <c r="AC310" s="2"/>
      <c r="AD310" s="2"/>
      <c r="AE310" s="2"/>
    </row>
    <row r="311" ht="15.75" customHeight="1">
      <c r="A311" s="2">
        <v>311.0</v>
      </c>
      <c r="B311" s="2" t="s">
        <v>987</v>
      </c>
      <c r="C311" s="2" t="s">
        <v>988</v>
      </c>
      <c r="D311" s="2" t="s">
        <v>33</v>
      </c>
      <c r="E311" s="2" t="s">
        <v>34</v>
      </c>
      <c r="F311" s="2" t="s">
        <v>35</v>
      </c>
      <c r="G311" s="2"/>
      <c r="H311" s="2" t="s">
        <v>34</v>
      </c>
      <c r="I311" s="2" t="s">
        <v>168</v>
      </c>
      <c r="J311" s="2" t="s">
        <v>989</v>
      </c>
      <c r="K311" s="4" t="str">
        <f>HYPERLINK("https://books.google.com/books/about/Diccionario_de_antigüedades_cristianas.html?id=C3KToAEACAAJ","Abrir enlace")</f>
        <v>Abrir enlace</v>
      </c>
      <c r="L311" s="2" t="s">
        <v>990</v>
      </c>
      <c r="M311" s="2"/>
      <c r="N311" s="2" t="s">
        <v>91</v>
      </c>
      <c r="O311" s="2" t="s">
        <v>991</v>
      </c>
      <c r="P311" s="4" t="str">
        <f>HYPERLINK("https://books.google.com/books/about/Diccionario_de_antigüedades_cristianas.html?id=C3KToAEACAAJ","Abrir enlace")</f>
        <v>Abrir enlace</v>
      </c>
      <c r="Q311" s="2" t="s">
        <v>992</v>
      </c>
      <c r="R311" s="2"/>
      <c r="S311" s="2" t="s">
        <v>91</v>
      </c>
      <c r="T311" s="2" t="s">
        <v>993</v>
      </c>
      <c r="U311" s="4" t="str">
        <f>HYPERLINK("https://cd.dgb.uanl.mx/handle/201504211/2/browse?value=Antiguedades+cristianas-Diccionarios&amp;type=subject","Abrir enlace")</f>
        <v>Abrir enlace</v>
      </c>
      <c r="V311" s="2" t="s">
        <v>994</v>
      </c>
      <c r="W311" s="2"/>
      <c r="X311" s="2" t="s">
        <v>91</v>
      </c>
      <c r="Y311" s="2" t="s">
        <v>995</v>
      </c>
      <c r="Z311" s="4" t="str">
        <f>HYPERLINK("https://www.ebay.com/itm/374616196235","Abrir enlace")</f>
        <v>Abrir enlace</v>
      </c>
      <c r="AA311" s="2"/>
      <c r="AB311" s="2"/>
      <c r="AC311" s="2"/>
      <c r="AD311" s="2"/>
      <c r="AE311" s="2"/>
    </row>
    <row r="312" ht="15.75" customHeight="1">
      <c r="A312" s="2">
        <v>312.0</v>
      </c>
      <c r="B312" s="2" t="s">
        <v>996</v>
      </c>
      <c r="C312" s="2"/>
      <c r="D312" s="2" t="s">
        <v>99</v>
      </c>
      <c r="E312" s="2" t="s">
        <v>64</v>
      </c>
      <c r="F312" s="2" t="s">
        <v>35</v>
      </c>
      <c r="G312" s="2"/>
      <c r="H312" s="2" t="s">
        <v>64</v>
      </c>
      <c r="I312" s="2" t="s">
        <v>36</v>
      </c>
      <c r="J312" s="2" t="s">
        <v>997</v>
      </c>
      <c r="K312" s="4" t="str">
        <f>HYPERLINK("http://cdigital.dgb.uanl.mx/la/1080018769/1080018769.PDF","Abrir enlace")</f>
        <v>Abrir enlace</v>
      </c>
      <c r="L312" s="2" t="s">
        <v>998</v>
      </c>
      <c r="M312" s="2"/>
      <c r="N312" s="2" t="s">
        <v>91</v>
      </c>
      <c r="O312" s="2" t="s">
        <v>999</v>
      </c>
      <c r="P312" s="4" t="str">
        <f>HYPERLINK("http://cdigital.dgb.uanl.mx/la/1080018769/1080018769.PDF","Abrir enlace")</f>
        <v>Abrir enlace</v>
      </c>
      <c r="Q312" s="2" t="s">
        <v>1000</v>
      </c>
      <c r="R312" s="2"/>
      <c r="S312" s="2" t="s">
        <v>91</v>
      </c>
      <c r="T312" s="2" t="s">
        <v>1001</v>
      </c>
      <c r="U312" s="4" t="str">
        <f>HYPERLINK("https://www.rae.es/ortografía/la-ortografía","Abrir enlace")</f>
        <v>Abrir enlace</v>
      </c>
      <c r="V312" s="2" t="s">
        <v>1002</v>
      </c>
      <c r="W312" s="2"/>
      <c r="X312" s="2" t="s">
        <v>91</v>
      </c>
      <c r="Y312" s="2" t="s">
        <v>1003</v>
      </c>
      <c r="Z312" s="4" t="str">
        <f>HYPERLINK("https://lya.fciencias.unam.mx/gfgf/ga20111/material/Ortografia.pdf","Abrir enlace")</f>
        <v>Abrir enlace</v>
      </c>
      <c r="AA312" s="2"/>
      <c r="AB312" s="2"/>
      <c r="AC312" s="2"/>
      <c r="AD312" s="2"/>
      <c r="AE312" s="2"/>
    </row>
    <row r="313" ht="15.75" customHeight="1">
      <c r="A313" s="2">
        <v>313.0</v>
      </c>
      <c r="B313" s="2" t="s">
        <v>1004</v>
      </c>
      <c r="C313" s="2" t="s">
        <v>1005</v>
      </c>
      <c r="D313" s="2" t="s">
        <v>33</v>
      </c>
      <c r="E313" s="2" t="s">
        <v>112</v>
      </c>
      <c r="F313" s="2" t="s">
        <v>35</v>
      </c>
      <c r="G313" s="2"/>
      <c r="H313" s="2" t="s">
        <v>112</v>
      </c>
      <c r="I313" s="2" t="s">
        <v>36</v>
      </c>
      <c r="J313" s="2" t="s">
        <v>1006</v>
      </c>
      <c r="K313" s="4" t="str">
        <f>HYPERLINK("https://dn760109.eu.archive.org/0/items/narraciones-d-ela-eternidad-pe.-niceto-alonso-perujo/Diccionario%20de%20Ciencias%20Eclesiasticas%20-%20Niceto%20Perujo%2C%20Juan%20Perez%20A"&amp;"ngulo%20%5BTomo%203%5D.pdf","Abrir enlace")</f>
        <v>Abrir enlace</v>
      </c>
      <c r="L313" s="2" t="s">
        <v>1004</v>
      </c>
      <c r="M313" s="2" t="s">
        <v>1005</v>
      </c>
      <c r="N313" s="2" t="s">
        <v>734</v>
      </c>
      <c r="O313" s="2" t="s">
        <v>92</v>
      </c>
      <c r="P313" s="4" t="str">
        <f>HYPERLINK("https://dn760109.eu.archive.org/0/items/narraciones-d-ela-eternidad-pe.-niceto-alonso-perujo/Diccionario%20de%20Ciencias%20Eclesiasticas%20-%20Niceto%20Perujo%2C%20Juan%20Perez%20A"&amp;"ngulo%20%5BTomo%203%5D.pdf","Abrir enlace")</f>
        <v>Abrir enlace</v>
      </c>
      <c r="Q313" s="2" t="s">
        <v>1007</v>
      </c>
      <c r="R313" s="2"/>
      <c r="S313" s="2" t="s">
        <v>91</v>
      </c>
      <c r="T313" s="2" t="s">
        <v>1008</v>
      </c>
      <c r="U313" s="4" t="str">
        <f>HYPERLINK("https://archive.org/download/narraciones-d-ela-eternidad-pe.-niceto-alonso-perujo/Diccionario+de+Ciencias+Eclesiasticas+-+Niceto+Perujo,+Juan+Perez+Angulo+[Tomo+8].pdf","Abrir enlace")</f>
        <v>Abrir enlace</v>
      </c>
      <c r="V313" s="2" t="s">
        <v>1009</v>
      </c>
      <c r="W313" s="2"/>
      <c r="X313" s="2" t="s">
        <v>91</v>
      </c>
      <c r="Y313" s="2" t="s">
        <v>671</v>
      </c>
      <c r="Z313" s="4" t="str">
        <f>HYPERLINK("https://archive.org/details/narraciones-d-ela-eternidad-pe.-niceto-alonso-perujo","Abrir enlace")</f>
        <v>Abrir enlace</v>
      </c>
      <c r="AA313" s="2"/>
      <c r="AB313" s="2"/>
      <c r="AC313" s="2"/>
      <c r="AD313" s="4" t="str">
        <f>HYPERLINK("https://dn760109.eu.archive.org/0/items/narraciones-d-ela-eternidad-pe.-niceto-alonso-perujo/Diccionario%20de%20Ciencias%20Eclesiasticas%20-%20Niceto%20Perujo%2C%20Juan%20Perez%20A"&amp;"ngulo%20%5BTomo%203%5D.pdf","Abrir enlace")</f>
        <v>Abrir enlace</v>
      </c>
      <c r="AE313" s="2" t="s">
        <v>1010</v>
      </c>
    </row>
    <row r="314" ht="15.75" customHeight="1">
      <c r="A314" s="2">
        <v>314.0</v>
      </c>
      <c r="B314" s="2" t="s">
        <v>1004</v>
      </c>
      <c r="C314" s="2" t="s">
        <v>1005</v>
      </c>
      <c r="D314" s="2" t="s">
        <v>33</v>
      </c>
      <c r="E314" s="2" t="s">
        <v>112</v>
      </c>
      <c r="F314" s="2" t="s">
        <v>35</v>
      </c>
      <c r="G314" s="2"/>
      <c r="H314" s="2" t="s">
        <v>112</v>
      </c>
      <c r="I314" s="2" t="s">
        <v>36</v>
      </c>
      <c r="J314" s="2" t="s">
        <v>1006</v>
      </c>
      <c r="K314" s="2" t="s">
        <v>757</v>
      </c>
      <c r="L314" s="2" t="s">
        <v>1004</v>
      </c>
      <c r="M314" s="2" t="s">
        <v>1005</v>
      </c>
      <c r="N314" s="2" t="s">
        <v>734</v>
      </c>
      <c r="O314" s="2" t="s">
        <v>92</v>
      </c>
      <c r="P314" s="2" t="s">
        <v>757</v>
      </c>
      <c r="Q314" s="2" t="s">
        <v>1007</v>
      </c>
      <c r="R314" s="2"/>
      <c r="S314" s="2" t="s">
        <v>91</v>
      </c>
      <c r="T314" s="2" t="s">
        <v>1008</v>
      </c>
      <c r="U314" s="2" t="s">
        <v>757</v>
      </c>
      <c r="V314" s="2" t="s">
        <v>1009</v>
      </c>
      <c r="W314" s="2"/>
      <c r="X314" s="2" t="s">
        <v>91</v>
      </c>
      <c r="Y314" s="2" t="s">
        <v>671</v>
      </c>
      <c r="Z314" s="2" t="s">
        <v>757</v>
      </c>
      <c r="AA314" s="2"/>
      <c r="AB314" s="2"/>
      <c r="AC314" s="2"/>
      <c r="AD314" s="2" t="s">
        <v>757</v>
      </c>
      <c r="AE314" s="2" t="s">
        <v>1010</v>
      </c>
    </row>
    <row r="315" ht="15.75" customHeight="1">
      <c r="A315" s="2">
        <v>315.0</v>
      </c>
      <c r="B315" s="2" t="s">
        <v>1004</v>
      </c>
      <c r="C315" s="2" t="s">
        <v>1005</v>
      </c>
      <c r="D315" s="2" t="s">
        <v>33</v>
      </c>
      <c r="E315" s="2" t="s">
        <v>112</v>
      </c>
      <c r="F315" s="2" t="s">
        <v>35</v>
      </c>
      <c r="G315" s="2"/>
      <c r="H315" s="2" t="s">
        <v>112</v>
      </c>
      <c r="I315" s="2" t="s">
        <v>36</v>
      </c>
      <c r="J315" s="2" t="s">
        <v>1006</v>
      </c>
      <c r="K315" s="2" t="s">
        <v>757</v>
      </c>
      <c r="L315" s="2" t="s">
        <v>1004</v>
      </c>
      <c r="M315" s="2" t="s">
        <v>1005</v>
      </c>
      <c r="N315" s="2" t="s">
        <v>734</v>
      </c>
      <c r="O315" s="2" t="s">
        <v>92</v>
      </c>
      <c r="P315" s="2" t="s">
        <v>757</v>
      </c>
      <c r="Q315" s="2" t="s">
        <v>1007</v>
      </c>
      <c r="R315" s="2"/>
      <c r="S315" s="2" t="s">
        <v>91</v>
      </c>
      <c r="T315" s="2" t="s">
        <v>1008</v>
      </c>
      <c r="U315" s="2" t="s">
        <v>757</v>
      </c>
      <c r="V315" s="2" t="s">
        <v>1009</v>
      </c>
      <c r="W315" s="2"/>
      <c r="X315" s="2" t="s">
        <v>91</v>
      </c>
      <c r="Y315" s="2" t="s">
        <v>671</v>
      </c>
      <c r="Z315" s="2" t="s">
        <v>757</v>
      </c>
      <c r="AA315" s="2"/>
      <c r="AB315" s="2"/>
      <c r="AC315" s="2"/>
      <c r="AD315" s="2" t="s">
        <v>757</v>
      </c>
      <c r="AE315" s="2" t="s">
        <v>1010</v>
      </c>
    </row>
    <row r="316" ht="15.75" customHeight="1">
      <c r="A316" s="2">
        <v>316.0</v>
      </c>
      <c r="B316" s="2" t="s">
        <v>1004</v>
      </c>
      <c r="C316" s="2" t="s">
        <v>1005</v>
      </c>
      <c r="D316" s="2" t="s">
        <v>33</v>
      </c>
      <c r="E316" s="2" t="s">
        <v>112</v>
      </c>
      <c r="F316" s="2" t="s">
        <v>35</v>
      </c>
      <c r="G316" s="2"/>
      <c r="H316" s="2" t="s">
        <v>112</v>
      </c>
      <c r="I316" s="2" t="s">
        <v>36</v>
      </c>
      <c r="J316" s="2" t="s">
        <v>1006</v>
      </c>
      <c r="K316" s="2" t="s">
        <v>757</v>
      </c>
      <c r="L316" s="2" t="s">
        <v>1004</v>
      </c>
      <c r="M316" s="2" t="s">
        <v>1005</v>
      </c>
      <c r="N316" s="2" t="s">
        <v>734</v>
      </c>
      <c r="O316" s="2" t="s">
        <v>92</v>
      </c>
      <c r="P316" s="2" t="s">
        <v>757</v>
      </c>
      <c r="Q316" s="2" t="s">
        <v>1007</v>
      </c>
      <c r="R316" s="2"/>
      <c r="S316" s="2" t="s">
        <v>91</v>
      </c>
      <c r="T316" s="2" t="s">
        <v>1008</v>
      </c>
      <c r="U316" s="2" t="s">
        <v>757</v>
      </c>
      <c r="V316" s="2" t="s">
        <v>1009</v>
      </c>
      <c r="W316" s="2"/>
      <c r="X316" s="2" t="s">
        <v>91</v>
      </c>
      <c r="Y316" s="2" t="s">
        <v>671</v>
      </c>
      <c r="Z316" s="2" t="s">
        <v>757</v>
      </c>
      <c r="AA316" s="2"/>
      <c r="AB316" s="2"/>
      <c r="AC316" s="2"/>
      <c r="AD316" s="2" t="s">
        <v>757</v>
      </c>
      <c r="AE316" s="2" t="s">
        <v>1010</v>
      </c>
    </row>
    <row r="317" ht="15.75" customHeight="1">
      <c r="A317" s="2">
        <v>317.0</v>
      </c>
      <c r="B317" s="2" t="s">
        <v>1004</v>
      </c>
      <c r="C317" s="2" t="s">
        <v>1005</v>
      </c>
      <c r="D317" s="2" t="s">
        <v>33</v>
      </c>
      <c r="E317" s="2" t="s">
        <v>112</v>
      </c>
      <c r="F317" s="2" t="s">
        <v>35</v>
      </c>
      <c r="G317" s="2"/>
      <c r="H317" s="2" t="s">
        <v>112</v>
      </c>
      <c r="I317" s="2" t="s">
        <v>36</v>
      </c>
      <c r="J317" s="2" t="s">
        <v>1006</v>
      </c>
      <c r="K317" s="2" t="s">
        <v>757</v>
      </c>
      <c r="L317" s="2" t="s">
        <v>1004</v>
      </c>
      <c r="M317" s="2" t="s">
        <v>1005</v>
      </c>
      <c r="N317" s="2" t="s">
        <v>734</v>
      </c>
      <c r="O317" s="2" t="s">
        <v>92</v>
      </c>
      <c r="P317" s="2" t="s">
        <v>757</v>
      </c>
      <c r="Q317" s="2" t="s">
        <v>1007</v>
      </c>
      <c r="R317" s="2"/>
      <c r="S317" s="2" t="s">
        <v>91</v>
      </c>
      <c r="T317" s="2" t="s">
        <v>1008</v>
      </c>
      <c r="U317" s="2" t="s">
        <v>757</v>
      </c>
      <c r="V317" s="2" t="s">
        <v>1009</v>
      </c>
      <c r="W317" s="2"/>
      <c r="X317" s="2" t="s">
        <v>91</v>
      </c>
      <c r="Y317" s="2" t="s">
        <v>671</v>
      </c>
      <c r="Z317" s="2" t="s">
        <v>757</v>
      </c>
      <c r="AA317" s="2"/>
      <c r="AB317" s="2"/>
      <c r="AC317" s="2"/>
      <c r="AD317" s="2" t="s">
        <v>757</v>
      </c>
      <c r="AE317" s="2" t="s">
        <v>1010</v>
      </c>
    </row>
    <row r="318" ht="15.75" customHeight="1">
      <c r="A318" s="2">
        <v>318.0</v>
      </c>
      <c r="B318" s="2" t="s">
        <v>1004</v>
      </c>
      <c r="C318" s="2" t="s">
        <v>1005</v>
      </c>
      <c r="D318" s="2" t="s">
        <v>33</v>
      </c>
      <c r="E318" s="2" t="s">
        <v>112</v>
      </c>
      <c r="F318" s="2" t="s">
        <v>35</v>
      </c>
      <c r="G318" s="2"/>
      <c r="H318" s="2" t="s">
        <v>112</v>
      </c>
      <c r="I318" s="2" t="s">
        <v>36</v>
      </c>
      <c r="J318" s="2" t="s">
        <v>1006</v>
      </c>
      <c r="K318" s="2" t="s">
        <v>757</v>
      </c>
      <c r="L318" s="2" t="s">
        <v>1004</v>
      </c>
      <c r="M318" s="2" t="s">
        <v>1005</v>
      </c>
      <c r="N318" s="2" t="s">
        <v>734</v>
      </c>
      <c r="O318" s="2" t="s">
        <v>92</v>
      </c>
      <c r="P318" s="2" t="s">
        <v>757</v>
      </c>
      <c r="Q318" s="2" t="s">
        <v>1007</v>
      </c>
      <c r="R318" s="2"/>
      <c r="S318" s="2" t="s">
        <v>91</v>
      </c>
      <c r="T318" s="2" t="s">
        <v>1008</v>
      </c>
      <c r="U318" s="2" t="s">
        <v>757</v>
      </c>
      <c r="V318" s="2" t="s">
        <v>1009</v>
      </c>
      <c r="W318" s="2"/>
      <c r="X318" s="2" t="s">
        <v>91</v>
      </c>
      <c r="Y318" s="2" t="s">
        <v>671</v>
      </c>
      <c r="Z318" s="2" t="s">
        <v>757</v>
      </c>
      <c r="AA318" s="2"/>
      <c r="AB318" s="2"/>
      <c r="AC318" s="2"/>
      <c r="AD318" s="2" t="s">
        <v>757</v>
      </c>
      <c r="AE318" s="2" t="s">
        <v>1010</v>
      </c>
    </row>
    <row r="319" ht="15.75" customHeight="1">
      <c r="A319" s="2">
        <v>319.0</v>
      </c>
      <c r="B319" s="2" t="s">
        <v>1004</v>
      </c>
      <c r="C319" s="2" t="s">
        <v>1005</v>
      </c>
      <c r="D319" s="2" t="s">
        <v>33</v>
      </c>
      <c r="E319" s="2" t="s">
        <v>112</v>
      </c>
      <c r="F319" s="2" t="s">
        <v>35</v>
      </c>
      <c r="G319" s="2"/>
      <c r="H319" s="2" t="s">
        <v>112</v>
      </c>
      <c r="I319" s="2" t="s">
        <v>36</v>
      </c>
      <c r="J319" s="2" t="s">
        <v>1006</v>
      </c>
      <c r="K319" s="2" t="s">
        <v>757</v>
      </c>
      <c r="L319" s="2" t="s">
        <v>1004</v>
      </c>
      <c r="M319" s="2" t="s">
        <v>1005</v>
      </c>
      <c r="N319" s="2" t="s">
        <v>734</v>
      </c>
      <c r="O319" s="2" t="s">
        <v>92</v>
      </c>
      <c r="P319" s="2" t="s">
        <v>757</v>
      </c>
      <c r="Q319" s="2" t="s">
        <v>1007</v>
      </c>
      <c r="R319" s="2"/>
      <c r="S319" s="2" t="s">
        <v>91</v>
      </c>
      <c r="T319" s="2" t="s">
        <v>1008</v>
      </c>
      <c r="U319" s="2" t="s">
        <v>757</v>
      </c>
      <c r="V319" s="2" t="s">
        <v>1009</v>
      </c>
      <c r="W319" s="2"/>
      <c r="X319" s="2" t="s">
        <v>91</v>
      </c>
      <c r="Y319" s="2" t="s">
        <v>671</v>
      </c>
      <c r="Z319" s="2" t="s">
        <v>757</v>
      </c>
      <c r="AA319" s="2"/>
      <c r="AB319" s="2"/>
      <c r="AC319" s="2"/>
      <c r="AD319" s="2" t="s">
        <v>757</v>
      </c>
      <c r="AE319" s="2" t="s">
        <v>1010</v>
      </c>
    </row>
    <row r="320" ht="15.75" customHeight="1">
      <c r="A320" s="2">
        <v>320.0</v>
      </c>
      <c r="B320" s="2" t="s">
        <v>1004</v>
      </c>
      <c r="C320" s="2" t="s">
        <v>1005</v>
      </c>
      <c r="D320" s="2" t="s">
        <v>33</v>
      </c>
      <c r="E320" s="2" t="s">
        <v>112</v>
      </c>
      <c r="F320" s="2" t="s">
        <v>35</v>
      </c>
      <c r="G320" s="2"/>
      <c r="H320" s="2" t="s">
        <v>112</v>
      </c>
      <c r="I320" s="2" t="s">
        <v>36</v>
      </c>
      <c r="J320" s="2" t="s">
        <v>1006</v>
      </c>
      <c r="K320" s="2" t="s">
        <v>757</v>
      </c>
      <c r="L320" s="2" t="s">
        <v>1004</v>
      </c>
      <c r="M320" s="2" t="s">
        <v>1005</v>
      </c>
      <c r="N320" s="2" t="s">
        <v>734</v>
      </c>
      <c r="O320" s="2" t="s">
        <v>92</v>
      </c>
      <c r="P320" s="2" t="s">
        <v>757</v>
      </c>
      <c r="Q320" s="2" t="s">
        <v>1007</v>
      </c>
      <c r="R320" s="2"/>
      <c r="S320" s="2" t="s">
        <v>91</v>
      </c>
      <c r="T320" s="2" t="s">
        <v>1008</v>
      </c>
      <c r="U320" s="2" t="s">
        <v>757</v>
      </c>
      <c r="V320" s="2" t="s">
        <v>1009</v>
      </c>
      <c r="W320" s="2"/>
      <c r="X320" s="2" t="s">
        <v>91</v>
      </c>
      <c r="Y320" s="2" t="s">
        <v>671</v>
      </c>
      <c r="Z320" s="2" t="s">
        <v>757</v>
      </c>
      <c r="AA320" s="2"/>
      <c r="AB320" s="2"/>
      <c r="AC320" s="2"/>
      <c r="AD320" s="2" t="s">
        <v>757</v>
      </c>
      <c r="AE320" s="2" t="s">
        <v>1010</v>
      </c>
    </row>
    <row r="321" ht="15.75" customHeight="1">
      <c r="A321" s="2">
        <v>321.0</v>
      </c>
      <c r="B321" s="2" t="s">
        <v>1004</v>
      </c>
      <c r="C321" s="2" t="s">
        <v>1005</v>
      </c>
      <c r="D321" s="2" t="s">
        <v>33</v>
      </c>
      <c r="E321" s="2" t="s">
        <v>112</v>
      </c>
      <c r="F321" s="2" t="s">
        <v>35</v>
      </c>
      <c r="G321" s="2"/>
      <c r="H321" s="2" t="s">
        <v>112</v>
      </c>
      <c r="I321" s="2" t="s">
        <v>36</v>
      </c>
      <c r="J321" s="2" t="s">
        <v>1006</v>
      </c>
      <c r="K321" s="2" t="s">
        <v>757</v>
      </c>
      <c r="L321" s="2" t="s">
        <v>1004</v>
      </c>
      <c r="M321" s="2" t="s">
        <v>1005</v>
      </c>
      <c r="N321" s="2" t="s">
        <v>734</v>
      </c>
      <c r="O321" s="2" t="s">
        <v>92</v>
      </c>
      <c r="P321" s="2" t="s">
        <v>757</v>
      </c>
      <c r="Q321" s="2" t="s">
        <v>1007</v>
      </c>
      <c r="R321" s="2"/>
      <c r="S321" s="2" t="s">
        <v>91</v>
      </c>
      <c r="T321" s="2" t="s">
        <v>1008</v>
      </c>
      <c r="U321" s="2" t="s">
        <v>757</v>
      </c>
      <c r="V321" s="2" t="s">
        <v>1009</v>
      </c>
      <c r="W321" s="2"/>
      <c r="X321" s="2" t="s">
        <v>91</v>
      </c>
      <c r="Y321" s="2" t="s">
        <v>671</v>
      </c>
      <c r="Z321" s="2" t="s">
        <v>757</v>
      </c>
      <c r="AA321" s="2"/>
      <c r="AB321" s="2"/>
      <c r="AC321" s="2"/>
      <c r="AD321" s="2" t="s">
        <v>757</v>
      </c>
      <c r="AE321" s="2" t="s">
        <v>1010</v>
      </c>
    </row>
    <row r="322" ht="15.75" customHeight="1">
      <c r="A322" s="2">
        <v>322.0</v>
      </c>
      <c r="B322" s="2" t="s">
        <v>1004</v>
      </c>
      <c r="C322" s="2" t="s">
        <v>1005</v>
      </c>
      <c r="D322" s="2" t="s">
        <v>33</v>
      </c>
      <c r="E322" s="2" t="s">
        <v>112</v>
      </c>
      <c r="F322" s="2" t="s">
        <v>35</v>
      </c>
      <c r="G322" s="2"/>
      <c r="H322" s="2" t="s">
        <v>112</v>
      </c>
      <c r="I322" s="2" t="s">
        <v>36</v>
      </c>
      <c r="J322" s="2" t="s">
        <v>1006</v>
      </c>
      <c r="K322" s="2" t="s">
        <v>757</v>
      </c>
      <c r="L322" s="2" t="s">
        <v>1004</v>
      </c>
      <c r="M322" s="2" t="s">
        <v>1005</v>
      </c>
      <c r="N322" s="2" t="s">
        <v>734</v>
      </c>
      <c r="O322" s="2" t="s">
        <v>92</v>
      </c>
      <c r="P322" s="2" t="s">
        <v>757</v>
      </c>
      <c r="Q322" s="2" t="s">
        <v>1007</v>
      </c>
      <c r="R322" s="2"/>
      <c r="S322" s="2" t="s">
        <v>91</v>
      </c>
      <c r="T322" s="2" t="s">
        <v>1008</v>
      </c>
      <c r="U322" s="2" t="s">
        <v>757</v>
      </c>
      <c r="V322" s="2" t="s">
        <v>1009</v>
      </c>
      <c r="W322" s="2"/>
      <c r="X322" s="2" t="s">
        <v>91</v>
      </c>
      <c r="Y322" s="2" t="s">
        <v>671</v>
      </c>
      <c r="Z322" s="2" t="s">
        <v>757</v>
      </c>
      <c r="AA322" s="2"/>
      <c r="AB322" s="2"/>
      <c r="AC322" s="2"/>
      <c r="AD322" s="2" t="s">
        <v>757</v>
      </c>
      <c r="AE322" s="2" t="s">
        <v>1010</v>
      </c>
    </row>
    <row r="323" ht="15.75" customHeight="1">
      <c r="A323" s="2">
        <v>323.0</v>
      </c>
      <c r="B323" s="2" t="s">
        <v>1011</v>
      </c>
      <c r="C323" s="2" t="s">
        <v>1012</v>
      </c>
      <c r="D323" s="2" t="s">
        <v>33</v>
      </c>
      <c r="E323" s="2" t="s">
        <v>112</v>
      </c>
      <c r="F323" s="2" t="s">
        <v>35</v>
      </c>
      <c r="G323" s="2"/>
      <c r="H323" s="2" t="s">
        <v>112</v>
      </c>
      <c r="I323" s="2" t="s">
        <v>36</v>
      </c>
      <c r="J323" s="2" t="s">
        <v>1013</v>
      </c>
      <c r="K323" s="4" t="str">
        <f>HYPERLINK("https://www.rafaelpoveda.com/cartas-importantes-del-papa-clemente-xiv/","Abrir enlace")</f>
        <v>Abrir enlace</v>
      </c>
      <c r="L323" s="2" t="s">
        <v>1014</v>
      </c>
      <c r="M323" s="2"/>
      <c r="N323" s="2" t="s">
        <v>91</v>
      </c>
      <c r="O323" s="2" t="s">
        <v>1015</v>
      </c>
      <c r="P323" s="4" t="str">
        <f>HYPERLINK("https://www.rafaelpoveda.com/cartas-importantes-del-papa-clemente-xiv/","Abrir enlace")</f>
        <v>Abrir enlace</v>
      </c>
      <c r="Q323" s="2" t="s">
        <v>1016</v>
      </c>
      <c r="R323" s="2"/>
      <c r="S323" s="2" t="s">
        <v>91</v>
      </c>
      <c r="T323" s="2" t="s">
        <v>1017</v>
      </c>
      <c r="U323" s="4" t="str">
        <f>HYPERLINK("https://books.google.com/books/about/Cartas_importantes_del_Papa_Clemente_XIV.html?id=BUWVC2wZPJwC","Abrir enlace")</f>
        <v>Abrir enlace</v>
      </c>
      <c r="V323" s="2" t="s">
        <v>1018</v>
      </c>
      <c r="W323" s="2"/>
      <c r="X323" s="2" t="s">
        <v>91</v>
      </c>
      <c r="Y323" s="2" t="s">
        <v>1019</v>
      </c>
      <c r="Z323" s="4" t="str">
        <f>HYPERLINK("https://catalog.hathitrust.org/Record/009285059","Abrir enlace")</f>
        <v>Abrir enlace</v>
      </c>
      <c r="AA323" s="2"/>
      <c r="AB323" s="2"/>
      <c r="AC323" s="2"/>
      <c r="AD323" s="2"/>
      <c r="AE323" s="2"/>
    </row>
    <row r="324" ht="15.75" customHeight="1">
      <c r="A324" s="2">
        <v>324.0</v>
      </c>
      <c r="B324" s="2" t="s">
        <v>1020</v>
      </c>
      <c r="C324" s="2" t="s">
        <v>1021</v>
      </c>
      <c r="D324" s="2" t="s">
        <v>33</v>
      </c>
      <c r="E324" s="2" t="s">
        <v>70</v>
      </c>
      <c r="F324" s="3" t="s">
        <v>35</v>
      </c>
      <c r="G324" s="2"/>
      <c r="H324" s="2" t="s">
        <v>70</v>
      </c>
      <c r="I324" s="2" t="s">
        <v>36</v>
      </c>
      <c r="J324" s="2" t="s">
        <v>1022</v>
      </c>
      <c r="K324" s="4" t="str">
        <f>HYPERLINK("https://archive.org/details/experimentalinqu01phil_0","Abrir enlace")</f>
        <v>Abrir enlace</v>
      </c>
      <c r="L324" s="2" t="s">
        <v>1023</v>
      </c>
      <c r="M324" s="2"/>
      <c r="N324" s="2" t="s">
        <v>54</v>
      </c>
      <c r="O324" s="2"/>
      <c r="P324" s="4" t="str">
        <f>HYPERLINK("https://archive.org/details/experimentalinqu01phil_0","Abrir enlace")</f>
        <v>Abrir enlace</v>
      </c>
      <c r="Q324" s="2"/>
      <c r="R324" s="2"/>
      <c r="S324" s="2"/>
      <c r="T324" s="2"/>
      <c r="U324" s="2"/>
      <c r="V324" s="2"/>
      <c r="W324" s="2"/>
      <c r="X324" s="2"/>
      <c r="Y324" s="2"/>
      <c r="Z324" s="2"/>
      <c r="AA324" s="2" t="s">
        <v>66</v>
      </c>
      <c r="AB324" s="2" t="s">
        <v>1024</v>
      </c>
      <c r="AC324" s="2"/>
      <c r="AD324" s="2"/>
      <c r="AE324" s="2"/>
    </row>
    <row r="325" ht="15.75" customHeight="1">
      <c r="A325" s="2">
        <v>325.0</v>
      </c>
      <c r="B325" s="2" t="s">
        <v>1025</v>
      </c>
      <c r="C325" s="2" t="s">
        <v>1026</v>
      </c>
      <c r="D325" s="2" t="s">
        <v>99</v>
      </c>
      <c r="E325" s="2" t="s">
        <v>64</v>
      </c>
      <c r="F325" s="2" t="s">
        <v>35</v>
      </c>
      <c r="G325" s="2"/>
      <c r="H325" s="2" t="s">
        <v>64</v>
      </c>
      <c r="I325" s="2" t="s">
        <v>36</v>
      </c>
      <c r="J325" s="2" t="s">
        <v>766</v>
      </c>
      <c r="K325" s="4" t="str">
        <f>HYPERLINK("https://www.francais.cedilla.es/gramatica-francesa-a1/","Abrir enlace")</f>
        <v>Abrir enlace</v>
      </c>
      <c r="L325" s="2" t="s">
        <v>1027</v>
      </c>
      <c r="M325" s="2"/>
      <c r="N325" s="2" t="s">
        <v>91</v>
      </c>
      <c r="O325" s="2" t="s">
        <v>1028</v>
      </c>
      <c r="P325" s="4" t="str">
        <f>HYPERLINK("https://www.francais.cedilla.es/gramatica-francesa-a1/","Abrir enlace")</f>
        <v>Abrir enlace</v>
      </c>
      <c r="Q325" s="2" t="s">
        <v>1029</v>
      </c>
      <c r="R325" s="2"/>
      <c r="S325" s="2" t="s">
        <v>91</v>
      </c>
      <c r="T325" s="2" t="s">
        <v>1030</v>
      </c>
      <c r="U325" s="4" t="str">
        <f>HYPERLINK("https://parlonsfle.com/category/gramatica-francesa/","Abrir enlace")</f>
        <v>Abrir enlace</v>
      </c>
      <c r="V325" s="2" t="s">
        <v>1031</v>
      </c>
      <c r="W325" s="2"/>
      <c r="X325" s="2" t="s">
        <v>91</v>
      </c>
      <c r="Y325" s="2" t="s">
        <v>1032</v>
      </c>
      <c r="Z325" s="4" t="str">
        <f>HYPERLINK("https://leccionfrancesfacil.com/gramatica","Abrir enlace")</f>
        <v>Abrir enlace</v>
      </c>
      <c r="AA325" s="2"/>
      <c r="AB325" s="2"/>
      <c r="AC325" s="2"/>
      <c r="AD325" s="2"/>
      <c r="AE325" s="2"/>
    </row>
    <row r="326" ht="15.75" customHeight="1">
      <c r="A326" s="2">
        <v>326.0</v>
      </c>
      <c r="B326" s="2" t="s">
        <v>1033</v>
      </c>
      <c r="C326" s="2" t="s">
        <v>1034</v>
      </c>
      <c r="D326" s="2" t="s">
        <v>33</v>
      </c>
      <c r="E326" s="2" t="s">
        <v>64</v>
      </c>
      <c r="F326" s="3" t="s">
        <v>35</v>
      </c>
      <c r="G326" s="2"/>
      <c r="H326" s="2" t="s">
        <v>64</v>
      </c>
      <c r="I326" s="2" t="s">
        <v>36</v>
      </c>
      <c r="J326" s="2" t="s">
        <v>1035</v>
      </c>
      <c r="K326" s="4" t="str">
        <f>HYPERLINK("https://openlibrary.org/works/OL37711529W","Abrir enlace")</f>
        <v>Abrir enlace</v>
      </c>
      <c r="L326" s="2" t="s">
        <v>1036</v>
      </c>
      <c r="M326" s="2"/>
      <c r="N326" s="2" t="s">
        <v>45</v>
      </c>
      <c r="O326" s="2"/>
      <c r="P326" s="4" t="str">
        <f>HYPERLINK("https://openlibrary.org/works/OL37711529W","Abrir enlace")</f>
        <v>Abrir enlace</v>
      </c>
      <c r="Q326" s="2"/>
      <c r="R326" s="2"/>
      <c r="S326" s="2"/>
      <c r="T326" s="2"/>
      <c r="U326" s="2"/>
      <c r="V326" s="2"/>
      <c r="W326" s="2"/>
      <c r="X326" s="2"/>
      <c r="Y326" s="2"/>
      <c r="Z326" s="2"/>
      <c r="AA326" s="2" t="s">
        <v>51</v>
      </c>
      <c r="AB326" s="2" t="s">
        <v>258</v>
      </c>
      <c r="AC326" s="2"/>
      <c r="AD326" s="2"/>
      <c r="AE326" s="2"/>
    </row>
    <row r="327" ht="15.75" customHeight="1">
      <c r="A327" s="2">
        <v>327.0</v>
      </c>
      <c r="B327" s="2" t="s">
        <v>1037</v>
      </c>
      <c r="C327" s="2" t="s">
        <v>1038</v>
      </c>
      <c r="D327" s="2" t="s">
        <v>33</v>
      </c>
      <c r="E327" s="2" t="s">
        <v>64</v>
      </c>
      <c r="F327" s="3" t="s">
        <v>35</v>
      </c>
      <c r="G327" s="2"/>
      <c r="H327" s="2" t="s">
        <v>64</v>
      </c>
      <c r="I327" s="2" t="s">
        <v>36</v>
      </c>
      <c r="J327" s="2" t="s">
        <v>37</v>
      </c>
      <c r="K327" s="4" t="str">
        <f>HYPERLINK("https://openlibrary.org/works/OL42947537W","Abrir enlace")</f>
        <v>Abrir enlace</v>
      </c>
      <c r="L327" s="2" t="s">
        <v>1039</v>
      </c>
      <c r="M327" s="2"/>
      <c r="N327" s="2" t="s">
        <v>45</v>
      </c>
      <c r="O327" s="2"/>
      <c r="P327" s="4" t="str">
        <f>HYPERLINK("https://openlibrary.org/works/OL42947537W","Abrir enlace")</f>
        <v>Abrir enlace</v>
      </c>
      <c r="Q327" s="2"/>
      <c r="R327" s="2"/>
      <c r="S327" s="2"/>
      <c r="T327" s="2"/>
      <c r="U327" s="2"/>
      <c r="V327" s="2"/>
      <c r="W327" s="2"/>
      <c r="X327" s="2"/>
      <c r="Y327" s="2"/>
      <c r="Z327" s="2"/>
      <c r="AA327" s="2" t="s">
        <v>46</v>
      </c>
      <c r="AB327" s="2" t="s">
        <v>67</v>
      </c>
      <c r="AC327" s="2"/>
      <c r="AD327" s="2"/>
      <c r="AE327" s="2"/>
    </row>
    <row r="328" ht="15.75" customHeight="1">
      <c r="A328" s="2">
        <v>328.0</v>
      </c>
      <c r="B328" s="2" t="s">
        <v>1040</v>
      </c>
      <c r="C328" s="2" t="s">
        <v>1041</v>
      </c>
      <c r="D328" s="2" t="s">
        <v>33</v>
      </c>
      <c r="E328" s="2" t="s">
        <v>70</v>
      </c>
      <c r="F328" s="3" t="s">
        <v>35</v>
      </c>
      <c r="G328" s="2"/>
      <c r="H328" s="2" t="s">
        <v>70</v>
      </c>
      <c r="I328" s="2" t="s">
        <v>36</v>
      </c>
      <c r="J328" s="2" t="s">
        <v>37</v>
      </c>
      <c r="K328" s="4" t="str">
        <f>HYPERLINK("https://openlibrary.org/works/OL17655537W","Abrir enlace")</f>
        <v>Abrir enlace</v>
      </c>
      <c r="L328" s="2" t="s">
        <v>1040</v>
      </c>
      <c r="M328" s="2"/>
      <c r="N328" s="2" t="s">
        <v>45</v>
      </c>
      <c r="O328" s="2"/>
      <c r="P328" s="4" t="str">
        <f>HYPERLINK("https://openlibrary.org/works/OL17655537W","Abrir enlace")</f>
        <v>Abrir enlace</v>
      </c>
      <c r="Q328" s="2"/>
      <c r="R328" s="2"/>
      <c r="S328" s="2"/>
      <c r="T328" s="2"/>
      <c r="U328" s="2"/>
      <c r="V328" s="2"/>
      <c r="W328" s="2"/>
      <c r="X328" s="2"/>
      <c r="Y328" s="2"/>
      <c r="Z328" s="2"/>
      <c r="AA328" s="2" t="s">
        <v>66</v>
      </c>
      <c r="AB328" s="2" t="s">
        <v>72</v>
      </c>
      <c r="AC328" s="2"/>
      <c r="AD328" s="2"/>
      <c r="AE328" s="2"/>
    </row>
    <row r="329" ht="15.75" customHeight="1">
      <c r="A329" s="2">
        <v>329.0</v>
      </c>
      <c r="B329" s="2" t="s">
        <v>1042</v>
      </c>
      <c r="C329" s="2"/>
      <c r="D329" s="2" t="s">
        <v>49</v>
      </c>
      <c r="E329" s="2" t="s">
        <v>64</v>
      </c>
      <c r="F329" s="3" t="s">
        <v>35</v>
      </c>
      <c r="G329" s="2"/>
      <c r="H329" s="2" t="s">
        <v>64</v>
      </c>
      <c r="I329" s="2" t="s">
        <v>36</v>
      </c>
      <c r="J329" s="2" t="s">
        <v>37</v>
      </c>
      <c r="K329" s="4" t="str">
        <f>HYPERLINK("https://archive.org/details/bub_gb_CIdjku3rFI8C","Abrir enlace")</f>
        <v>Abrir enlace</v>
      </c>
      <c r="L329" s="2" t="s">
        <v>1043</v>
      </c>
      <c r="M329" s="2"/>
      <c r="N329" s="2" t="s">
        <v>54</v>
      </c>
      <c r="O329" s="2"/>
      <c r="P329" s="4" t="str">
        <f>HYPERLINK("https://archive.org/details/bub_gb_CIdjku3rFI8C","Abrir enlace")</f>
        <v>Abrir enlace</v>
      </c>
      <c r="Q329" s="2"/>
      <c r="R329" s="2"/>
      <c r="S329" s="2"/>
      <c r="T329" s="2"/>
      <c r="U329" s="2"/>
      <c r="V329" s="2"/>
      <c r="W329" s="2"/>
      <c r="X329" s="2"/>
      <c r="Y329" s="2"/>
      <c r="Z329" s="2"/>
      <c r="AA329" s="2" t="s">
        <v>40</v>
      </c>
      <c r="AB329" s="2" t="s">
        <v>67</v>
      </c>
      <c r="AC329" s="2"/>
      <c r="AD329" s="2"/>
      <c r="AE329" s="2"/>
    </row>
    <row r="330" ht="15.75" customHeight="1">
      <c r="A330" s="2">
        <v>330.0</v>
      </c>
      <c r="B330" s="2" t="s">
        <v>1044</v>
      </c>
      <c r="C330" s="2" t="s">
        <v>1045</v>
      </c>
      <c r="D330" s="2" t="s">
        <v>33</v>
      </c>
      <c r="E330" s="2" t="s">
        <v>70</v>
      </c>
      <c r="F330" s="3" t="s">
        <v>35</v>
      </c>
      <c r="G330" s="2"/>
      <c r="H330" s="2" t="s">
        <v>70</v>
      </c>
      <c r="I330" s="2" t="s">
        <v>36</v>
      </c>
      <c r="J330" s="2" t="s">
        <v>37</v>
      </c>
      <c r="K330" s="4" t="str">
        <f>HYPERLINK("https://archive.org/details/b29324002","Abrir enlace")</f>
        <v>Abrir enlace</v>
      </c>
      <c r="L330" s="2" t="s">
        <v>1044</v>
      </c>
      <c r="M330" s="2"/>
      <c r="N330" s="2" t="s">
        <v>54</v>
      </c>
      <c r="O330" s="2"/>
      <c r="P330" s="4" t="str">
        <f>HYPERLINK("https://archive.org/details/b29324002","Abrir enlace")</f>
        <v>Abrir enlace</v>
      </c>
      <c r="Q330" s="2"/>
      <c r="R330" s="2"/>
      <c r="S330" s="2"/>
      <c r="T330" s="2"/>
      <c r="U330" s="2"/>
      <c r="V330" s="2"/>
      <c r="W330" s="2"/>
      <c r="X330" s="2"/>
      <c r="Y330" s="2"/>
      <c r="Z330" s="2"/>
      <c r="AA330" s="2" t="s">
        <v>66</v>
      </c>
      <c r="AB330" s="2" t="s">
        <v>72</v>
      </c>
      <c r="AC330" s="2"/>
      <c r="AD330" s="2"/>
      <c r="AE330" s="2"/>
    </row>
    <row r="331" ht="15.75" customHeight="1">
      <c r="A331" s="2">
        <v>331.0</v>
      </c>
      <c r="B331" s="2" t="s">
        <v>1046</v>
      </c>
      <c r="C331" s="2"/>
      <c r="D331" s="2" t="s">
        <v>49</v>
      </c>
      <c r="E331" s="2" t="s">
        <v>64</v>
      </c>
      <c r="F331" s="3" t="s">
        <v>35</v>
      </c>
      <c r="G331" s="2"/>
      <c r="H331" s="2" t="s">
        <v>64</v>
      </c>
      <c r="I331" s="2" t="s">
        <v>36</v>
      </c>
      <c r="J331" s="2" t="s">
        <v>37</v>
      </c>
      <c r="K331" s="4" t="str">
        <f>HYPERLINK("https://archive.org/details/pindarnemeanisth00pinduoft","Abrir enlace")</f>
        <v>Abrir enlace</v>
      </c>
      <c r="L331" s="2" t="s">
        <v>1047</v>
      </c>
      <c r="M331" s="2"/>
      <c r="N331" s="2" t="s">
        <v>54</v>
      </c>
      <c r="O331" s="2"/>
      <c r="P331" s="4" t="str">
        <f>HYPERLINK("https://archive.org/details/pindarnemeanisth00pinduoft","Abrir enlace")</f>
        <v>Abrir enlace</v>
      </c>
      <c r="Q331" s="2"/>
      <c r="R331" s="2"/>
      <c r="S331" s="2"/>
      <c r="T331" s="2"/>
      <c r="U331" s="2"/>
      <c r="V331" s="2"/>
      <c r="W331" s="2"/>
      <c r="X331" s="2"/>
      <c r="Y331" s="2"/>
      <c r="Z331" s="2"/>
      <c r="AA331" s="2" t="s">
        <v>46</v>
      </c>
      <c r="AB331" s="2" t="s">
        <v>67</v>
      </c>
      <c r="AC331" s="2"/>
      <c r="AD331" s="2"/>
      <c r="AE331" s="2"/>
    </row>
    <row r="332" ht="15.75" customHeight="1">
      <c r="A332" s="2">
        <v>332.0</v>
      </c>
      <c r="B332" s="2" t="s">
        <v>1048</v>
      </c>
      <c r="C332" s="2" t="s">
        <v>43</v>
      </c>
      <c r="D332" s="2" t="s">
        <v>33</v>
      </c>
      <c r="E332" s="2" t="s">
        <v>34</v>
      </c>
      <c r="F332" s="2" t="s">
        <v>35</v>
      </c>
      <c r="G332" s="2"/>
      <c r="H332" s="2" t="s">
        <v>34</v>
      </c>
      <c r="I332" s="2" t="s">
        <v>36</v>
      </c>
      <c r="J332" s="2" t="s">
        <v>1049</v>
      </c>
      <c r="K332" s="4" t="str">
        <f>HYPERLINK("https://books.google.com/books/about/Compendio_de_geografía_universal_1.html?id=zacVX4g-CNAC","Abrir enlace")</f>
        <v>Abrir enlace</v>
      </c>
      <c r="L332" s="2" t="s">
        <v>1050</v>
      </c>
      <c r="M332" s="2"/>
      <c r="N332" s="2" t="s">
        <v>91</v>
      </c>
      <c r="O332" s="2" t="s">
        <v>1051</v>
      </c>
      <c r="P332" s="4" t="str">
        <f>HYPERLINK("https://books.google.com/books/about/Compendio_de_geografía_universal_1.html?id=zacVX4g-CNAC","Abrir enlace")</f>
        <v>Abrir enlace</v>
      </c>
      <c r="Q332" s="2" t="s">
        <v>1052</v>
      </c>
      <c r="R332" s="2"/>
      <c r="S332" s="2" t="s">
        <v>91</v>
      </c>
      <c r="T332" s="2" t="s">
        <v>1053</v>
      </c>
      <c r="U332" s="4" t="str">
        <f>HYPERLINK("https://www.zvab.com/NUEVO-CURSO-COMPLETO-GEOGRAFIA-UNIVERSAL-FISICA/31385248935/bd","Abrir enlace")</f>
        <v>Abrir enlace</v>
      </c>
      <c r="V332" s="2" t="s">
        <v>1054</v>
      </c>
      <c r="W332" s="2"/>
      <c r="X332" s="2" t="s">
        <v>91</v>
      </c>
      <c r="Y332" s="2" t="s">
        <v>1055</v>
      </c>
      <c r="Z332" s="4" t="str">
        <f>HYPERLINK("https://www.scribd.com/document/771317917/Curso-Completo-de-Geografia-Universal-An","Abrir enlace")</f>
        <v>Abrir enlace</v>
      </c>
      <c r="AA332" s="2"/>
      <c r="AB332" s="2"/>
      <c r="AC332" s="2"/>
      <c r="AD332" s="2"/>
      <c r="AE332" s="2"/>
    </row>
    <row r="333" ht="15.75" customHeight="1">
      <c r="A333" s="2">
        <v>333.0</v>
      </c>
      <c r="B333" s="2" t="s">
        <v>1048</v>
      </c>
      <c r="C333" s="2" t="s">
        <v>43</v>
      </c>
      <c r="D333" s="2" t="s">
        <v>33</v>
      </c>
      <c r="E333" s="2" t="s">
        <v>34</v>
      </c>
      <c r="F333" s="2" t="s">
        <v>35</v>
      </c>
      <c r="G333" s="2"/>
      <c r="H333" s="2" t="s">
        <v>34</v>
      </c>
      <c r="I333" s="2" t="s">
        <v>36</v>
      </c>
      <c r="J333" s="2" t="s">
        <v>1049</v>
      </c>
      <c r="K333" s="2" t="s">
        <v>757</v>
      </c>
      <c r="L333" s="2" t="s">
        <v>1050</v>
      </c>
      <c r="M333" s="2"/>
      <c r="N333" s="2" t="s">
        <v>91</v>
      </c>
      <c r="O333" s="2" t="s">
        <v>1051</v>
      </c>
      <c r="P333" s="2" t="s">
        <v>757</v>
      </c>
      <c r="Q333" s="2" t="s">
        <v>1052</v>
      </c>
      <c r="R333" s="2"/>
      <c r="S333" s="2" t="s">
        <v>91</v>
      </c>
      <c r="T333" s="2" t="s">
        <v>1053</v>
      </c>
      <c r="U333" s="2" t="s">
        <v>757</v>
      </c>
      <c r="V333" s="2" t="s">
        <v>1054</v>
      </c>
      <c r="W333" s="2"/>
      <c r="X333" s="2" t="s">
        <v>91</v>
      </c>
      <c r="Y333" s="2" t="s">
        <v>1055</v>
      </c>
      <c r="Z333" s="2" t="s">
        <v>757</v>
      </c>
      <c r="AA333" s="2"/>
      <c r="AB333" s="2"/>
      <c r="AC333" s="2"/>
      <c r="AD333" s="2"/>
      <c r="AE333" s="2"/>
    </row>
    <row r="334" ht="15.75" customHeight="1">
      <c r="A334" s="2">
        <v>334.0</v>
      </c>
      <c r="B334" s="2" t="s">
        <v>1056</v>
      </c>
      <c r="C334" s="2"/>
      <c r="D334" s="2" t="s">
        <v>49</v>
      </c>
      <c r="E334" s="2" t="s">
        <v>70</v>
      </c>
      <c r="F334" s="3" t="s">
        <v>35</v>
      </c>
      <c r="G334" s="2"/>
      <c r="H334" s="2" t="s">
        <v>70</v>
      </c>
      <c r="I334" s="2" t="s">
        <v>36</v>
      </c>
      <c r="J334" s="2" t="s">
        <v>1057</v>
      </c>
      <c r="K334" s="4" t="str">
        <f>HYPERLINK("https://openlibrary.org/works/OL37677363W","Abrir enlace")</f>
        <v>Abrir enlace</v>
      </c>
      <c r="L334" s="2" t="s">
        <v>1058</v>
      </c>
      <c r="M334" s="2"/>
      <c r="N334" s="2" t="s">
        <v>45</v>
      </c>
      <c r="O334" s="2"/>
      <c r="P334" s="4" t="str">
        <f>HYPERLINK("https://openlibrary.org/works/OL37677363W","Abrir enlace")</f>
        <v>Abrir enlace</v>
      </c>
      <c r="Q334" s="2"/>
      <c r="R334" s="2"/>
      <c r="S334" s="2"/>
      <c r="T334" s="2"/>
      <c r="U334" s="2"/>
      <c r="V334" s="2"/>
      <c r="W334" s="2"/>
      <c r="X334" s="2"/>
      <c r="Y334" s="2"/>
      <c r="Z334" s="2"/>
      <c r="AA334" s="2" t="s">
        <v>51</v>
      </c>
      <c r="AB334" s="2" t="s">
        <v>1059</v>
      </c>
      <c r="AC334" s="2"/>
      <c r="AD334" s="2"/>
      <c r="AE334" s="2"/>
    </row>
    <row r="335" ht="15.75" customHeight="1">
      <c r="A335" s="2">
        <v>335.0</v>
      </c>
      <c r="B335" s="2" t="s">
        <v>1060</v>
      </c>
      <c r="C335" s="2" t="s">
        <v>1061</v>
      </c>
      <c r="D335" s="2" t="s">
        <v>33</v>
      </c>
      <c r="E335" s="2" t="s">
        <v>64</v>
      </c>
      <c r="F335" s="3" t="s">
        <v>35</v>
      </c>
      <c r="G335" s="2"/>
      <c r="H335" s="2" t="s">
        <v>64</v>
      </c>
      <c r="I335" s="2" t="s">
        <v>36</v>
      </c>
      <c r="J335" s="2" t="s">
        <v>1062</v>
      </c>
      <c r="K335" s="4" t="str">
        <f>HYPERLINK("https://archive.org/details/1896elingeniosohid01cerv","Abrir enlace")</f>
        <v>Abrir enlace</v>
      </c>
      <c r="L335" s="2" t="s">
        <v>1063</v>
      </c>
      <c r="M335" s="2"/>
      <c r="N335" s="2" t="s">
        <v>54</v>
      </c>
      <c r="O335" s="2"/>
      <c r="P335" s="4" t="str">
        <f>HYPERLINK("https://archive.org/details/1896elingeniosohid01cerv","Abrir enlace")</f>
        <v>Abrir enlace</v>
      </c>
      <c r="Q335" s="2"/>
      <c r="R335" s="2"/>
      <c r="S335" s="2"/>
      <c r="T335" s="2"/>
      <c r="U335" s="2"/>
      <c r="V335" s="2"/>
      <c r="W335" s="2"/>
      <c r="X335" s="2"/>
      <c r="Y335" s="2"/>
      <c r="Z335" s="2"/>
      <c r="AA335" s="2" t="s">
        <v>51</v>
      </c>
      <c r="AB335" s="2" t="s">
        <v>150</v>
      </c>
      <c r="AC335" s="2"/>
      <c r="AD335" s="2"/>
      <c r="AE335" s="2"/>
    </row>
    <row r="336" ht="15.75" customHeight="1">
      <c r="A336" s="2">
        <v>336.0</v>
      </c>
      <c r="B336" s="2" t="s">
        <v>1064</v>
      </c>
      <c r="C336" s="2" t="s">
        <v>572</v>
      </c>
      <c r="D336" s="2" t="s">
        <v>33</v>
      </c>
      <c r="E336" s="2" t="s">
        <v>64</v>
      </c>
      <c r="F336" s="3" t="s">
        <v>35</v>
      </c>
      <c r="G336" s="2"/>
      <c r="H336" s="2" t="s">
        <v>64</v>
      </c>
      <c r="I336" s="2" t="s">
        <v>36</v>
      </c>
      <c r="J336" s="2" t="s">
        <v>37</v>
      </c>
      <c r="K336" s="4" t="str">
        <f>HYPERLINK("https://openlibrary.org/works/OL30926161W","Abrir enlace")</f>
        <v>Abrir enlace</v>
      </c>
      <c r="L336" s="2" t="s">
        <v>1064</v>
      </c>
      <c r="M336" s="2"/>
      <c r="N336" s="2" t="s">
        <v>45</v>
      </c>
      <c r="O336" s="2"/>
      <c r="P336" s="4" t="str">
        <f>HYPERLINK("https://openlibrary.org/works/OL30926161W","Abrir enlace")</f>
        <v>Abrir enlace</v>
      </c>
      <c r="Q336" s="2"/>
      <c r="R336" s="2"/>
      <c r="S336" s="2"/>
      <c r="T336" s="2"/>
      <c r="U336" s="2"/>
      <c r="V336" s="2"/>
      <c r="W336" s="2"/>
      <c r="X336" s="2"/>
      <c r="Y336" s="2"/>
      <c r="Z336" s="2"/>
      <c r="AA336" s="2" t="s">
        <v>40</v>
      </c>
      <c r="AB336" s="2" t="s">
        <v>67</v>
      </c>
      <c r="AC336" s="2"/>
      <c r="AD336" s="2"/>
      <c r="AE336" s="2"/>
    </row>
    <row r="337" ht="15.75" customHeight="1">
      <c r="A337" s="2">
        <v>337.0</v>
      </c>
      <c r="B337" s="2" t="s">
        <v>1065</v>
      </c>
      <c r="C337" s="2" t="s">
        <v>1066</v>
      </c>
      <c r="D337" s="2" t="s">
        <v>33</v>
      </c>
      <c r="E337" s="2" t="s">
        <v>64</v>
      </c>
      <c r="F337" s="2" t="s">
        <v>35</v>
      </c>
      <c r="G337" s="2"/>
      <c r="H337" s="2" t="s">
        <v>64</v>
      </c>
      <c r="I337" s="2" t="s">
        <v>168</v>
      </c>
      <c r="J337" s="2" t="s">
        <v>1067</v>
      </c>
      <c r="K337" s="4" t="str">
        <f>HYPERLINK("https://books.google.com/books/about/Oratio_Latina_lingua_non_est_ex_grammati.html?id=dwBGAAAAcAAJ","Abrir enlace")</f>
        <v>Abrir enlace</v>
      </c>
      <c r="L337" s="2" t="s">
        <v>1068</v>
      </c>
      <c r="M337" s="2"/>
      <c r="N337" s="2" t="s">
        <v>91</v>
      </c>
      <c r="O337" s="2" t="s">
        <v>1069</v>
      </c>
      <c r="P337" s="4" t="str">
        <f>HYPERLINK("https://books.google.com/books/about/Oratio_Latina_lingua_non_est_ex_grammati.html?id=dwBGAAAAcAAJ","Abrir enlace")</f>
        <v>Abrir enlace</v>
      </c>
      <c r="Q337" s="2" t="s">
        <v>1070</v>
      </c>
      <c r="R337" s="2"/>
      <c r="S337" s="2" t="s">
        <v>91</v>
      </c>
      <c r="T337" s="2" t="s">
        <v>1071</v>
      </c>
      <c r="U337" s="4" t="str">
        <f>HYPERLINK("https://catalogue.bnf.fr/ark:/12148/cb30415046s","Abrir enlace")</f>
        <v>Abrir enlace</v>
      </c>
      <c r="V337" s="2" t="s">
        <v>1072</v>
      </c>
      <c r="W337" s="2"/>
      <c r="X337" s="2" t="s">
        <v>91</v>
      </c>
      <c r="Y337" s="2" t="s">
        <v>1073</v>
      </c>
      <c r="Z337" s="4" t="str">
        <f>HYPERLINK("https://archive.org/details/bub_gb_ZqQEl3l9jm4C","Abrir enlace")</f>
        <v>Abrir enlace</v>
      </c>
      <c r="AA337" s="2"/>
      <c r="AB337" s="2"/>
      <c r="AC337" s="2"/>
      <c r="AD337" s="2"/>
      <c r="AE337" s="2"/>
    </row>
    <row r="338" ht="15.75" customHeight="1">
      <c r="A338" s="2">
        <v>338.0</v>
      </c>
      <c r="B338" s="2" t="s">
        <v>1074</v>
      </c>
      <c r="C338" s="2" t="s">
        <v>1075</v>
      </c>
      <c r="D338" s="2" t="s">
        <v>33</v>
      </c>
      <c r="E338" s="2" t="s">
        <v>64</v>
      </c>
      <c r="F338" s="2" t="s">
        <v>35</v>
      </c>
      <c r="G338" s="2"/>
      <c r="H338" s="2" t="s">
        <v>64</v>
      </c>
      <c r="I338" s="2" t="s">
        <v>189</v>
      </c>
      <c r="J338" s="2" t="s">
        <v>1076</v>
      </c>
      <c r="K338" s="4" t="str">
        <f>HYPERLINK("https://openlibrary.org/works/OL42300062W","Abrir enlace")</f>
        <v>Abrir enlace</v>
      </c>
      <c r="L338" s="2" t="s">
        <v>1077</v>
      </c>
      <c r="M338" s="2" t="s">
        <v>1078</v>
      </c>
      <c r="N338" s="2" t="s">
        <v>45</v>
      </c>
      <c r="O338" s="2" t="s">
        <v>92</v>
      </c>
      <c r="P338" s="4" t="str">
        <f>HYPERLINK("https://openlibrary.org/works/OL42300062W","Abrir enlace")</f>
        <v>Abrir enlace</v>
      </c>
      <c r="Q338" s="2" t="s">
        <v>1079</v>
      </c>
      <c r="R338" s="2" t="s">
        <v>1080</v>
      </c>
      <c r="S338" s="2" t="s">
        <v>54</v>
      </c>
      <c r="T338" s="2" t="s">
        <v>96</v>
      </c>
      <c r="U338" s="4" t="str">
        <f>HYPERLINK("https://archive.org/details/bwb_S0-AWS-718","Abrir enlace")</f>
        <v>Abrir enlace</v>
      </c>
      <c r="V338" s="2" t="s">
        <v>1081</v>
      </c>
      <c r="W338" s="2" t="s">
        <v>1082</v>
      </c>
      <c r="X338" s="2" t="s">
        <v>54</v>
      </c>
      <c r="Y338" s="2" t="s">
        <v>1083</v>
      </c>
      <c r="Z338" s="4" t="str">
        <f>HYPERLINK("https://archive.org/details/oeuvrespoetiques0000yvon","Abrir enlace")</f>
        <v>Abrir enlace</v>
      </c>
      <c r="AA338" s="2"/>
      <c r="AB338" s="2"/>
      <c r="AC338" s="2"/>
      <c r="AD338" s="2"/>
      <c r="AE338" s="2"/>
    </row>
    <row r="339" ht="15.75" customHeight="1">
      <c r="A339" s="2">
        <v>339.0</v>
      </c>
      <c r="B339" s="2" t="s">
        <v>1084</v>
      </c>
      <c r="C339" s="2" t="s">
        <v>1085</v>
      </c>
      <c r="D339" s="2" t="s">
        <v>165</v>
      </c>
      <c r="E339" s="2" t="s">
        <v>64</v>
      </c>
      <c r="F339" s="3" t="s">
        <v>35</v>
      </c>
      <c r="G339" s="2"/>
      <c r="H339" s="2" t="s">
        <v>64</v>
      </c>
      <c r="I339" s="2" t="s">
        <v>36</v>
      </c>
      <c r="J339" s="2" t="s">
        <v>37</v>
      </c>
      <c r="K339" s="4" t="str">
        <f>HYPERLINK("https://openlibrary.org/works/OL38748991W","Abrir enlace")</f>
        <v>Abrir enlace</v>
      </c>
      <c r="L339" s="2" t="s">
        <v>1086</v>
      </c>
      <c r="M339" s="2"/>
      <c r="N339" s="2" t="s">
        <v>45</v>
      </c>
      <c r="O339" s="2"/>
      <c r="P339" s="4" t="str">
        <f>HYPERLINK("https://openlibrary.org/works/OL38748991W","Abrir enlace")</f>
        <v>Abrir enlace</v>
      </c>
      <c r="Q339" s="2"/>
      <c r="R339" s="2"/>
      <c r="S339" s="2"/>
      <c r="T339" s="2"/>
      <c r="U339" s="2"/>
      <c r="V339" s="2"/>
      <c r="W339" s="2"/>
      <c r="X339" s="2"/>
      <c r="Y339" s="2"/>
      <c r="Z339" s="2"/>
      <c r="AA339" s="2" t="s">
        <v>687</v>
      </c>
      <c r="AB339" s="2" t="s">
        <v>67</v>
      </c>
      <c r="AC339" s="2"/>
      <c r="AD339" s="2"/>
      <c r="AE339" s="2"/>
    </row>
    <row r="340" ht="15.75" customHeight="1">
      <c r="A340" s="2">
        <v>340.0</v>
      </c>
      <c r="B340" s="2" t="s">
        <v>1087</v>
      </c>
      <c r="C340" s="2" t="s">
        <v>1088</v>
      </c>
      <c r="D340" s="2" t="s">
        <v>33</v>
      </c>
      <c r="E340" s="2" t="s">
        <v>64</v>
      </c>
      <c r="F340" s="3" t="s">
        <v>35</v>
      </c>
      <c r="G340" s="2"/>
      <c r="H340" s="2" t="s">
        <v>64</v>
      </c>
      <c r="I340" s="2" t="s">
        <v>36</v>
      </c>
      <c r="J340" s="2" t="s">
        <v>1089</v>
      </c>
      <c r="K340" s="4" t="str">
        <f>HYPERLINK("https://archive.org/details/ellectoramerica00ngoog","Abrir enlace")</f>
        <v>Abrir enlace</v>
      </c>
      <c r="L340" s="2" t="s">
        <v>1090</v>
      </c>
      <c r="M340" s="2"/>
      <c r="N340" s="2" t="s">
        <v>54</v>
      </c>
      <c r="O340" s="2"/>
      <c r="P340" s="4" t="str">
        <f>HYPERLINK("https://archive.org/details/ellectoramerica00ngoog","Abrir enlace")</f>
        <v>Abrir enlace</v>
      </c>
      <c r="Q340" s="2"/>
      <c r="R340" s="2"/>
      <c r="S340" s="2"/>
      <c r="T340" s="2"/>
      <c r="U340" s="2"/>
      <c r="V340" s="2"/>
      <c r="W340" s="2"/>
      <c r="X340" s="2"/>
      <c r="Y340" s="2"/>
      <c r="Z340" s="2"/>
      <c r="AA340" s="2" t="s">
        <v>51</v>
      </c>
      <c r="AB340" s="2" t="s">
        <v>1091</v>
      </c>
      <c r="AC340" s="2"/>
      <c r="AD340" s="2"/>
      <c r="AE340" s="2"/>
    </row>
    <row r="341" ht="15.75" customHeight="1">
      <c r="A341" s="2">
        <v>341.0</v>
      </c>
      <c r="B341" s="2" t="s">
        <v>1092</v>
      </c>
      <c r="C341" s="2" t="s">
        <v>1093</v>
      </c>
      <c r="D341" s="2" t="s">
        <v>49</v>
      </c>
      <c r="E341" s="2" t="s">
        <v>64</v>
      </c>
      <c r="F341" s="3" t="s">
        <v>35</v>
      </c>
      <c r="G341" s="2"/>
      <c r="H341" s="2" t="s">
        <v>64</v>
      </c>
      <c r="I341" s="2" t="s">
        <v>36</v>
      </c>
      <c r="J341" s="2" t="s">
        <v>37</v>
      </c>
      <c r="K341" s="4" t="str">
        <f>HYPERLINK("https://openlibrary.org/works/OL683326W","Abrir enlace")</f>
        <v>Abrir enlace</v>
      </c>
      <c r="L341" s="2" t="s">
        <v>1094</v>
      </c>
      <c r="M341" s="2"/>
      <c r="N341" s="2" t="s">
        <v>45</v>
      </c>
      <c r="O341" s="2"/>
      <c r="P341" s="4" t="str">
        <f>HYPERLINK("https://openlibrary.org/works/OL683326W","Abrir enlace")</f>
        <v>Abrir enlace</v>
      </c>
      <c r="Q341" s="2"/>
      <c r="R341" s="2"/>
      <c r="S341" s="2"/>
      <c r="T341" s="2"/>
      <c r="U341" s="2"/>
      <c r="V341" s="2"/>
      <c r="W341" s="2"/>
      <c r="X341" s="2"/>
      <c r="Y341" s="2"/>
      <c r="Z341" s="2"/>
      <c r="AA341" s="2" t="s">
        <v>60</v>
      </c>
      <c r="AB341" s="2" t="s">
        <v>67</v>
      </c>
      <c r="AC341" s="2"/>
      <c r="AD341" s="2"/>
      <c r="AE341" s="2"/>
    </row>
    <row r="342" ht="15.75" customHeight="1">
      <c r="A342" s="2">
        <v>342.0</v>
      </c>
      <c r="B342" s="2" t="s">
        <v>1095</v>
      </c>
      <c r="C342" s="2"/>
      <c r="D342" s="2" t="s">
        <v>49</v>
      </c>
      <c r="E342" s="2" t="s">
        <v>34</v>
      </c>
      <c r="F342" s="3" t="s">
        <v>35</v>
      </c>
      <c r="G342" s="2"/>
      <c r="H342" s="2" t="s">
        <v>34</v>
      </c>
      <c r="I342" s="2" t="s">
        <v>36</v>
      </c>
      <c r="J342" s="2" t="s">
        <v>37</v>
      </c>
      <c r="K342" s="4" t="str">
        <f>HYPERLINK("https://openlibrary.org/works/OL28566602W","Abrir enlace")</f>
        <v>Abrir enlace</v>
      </c>
      <c r="L342" s="2" t="s">
        <v>1096</v>
      </c>
      <c r="M342" s="2"/>
      <c r="N342" s="2" t="s">
        <v>45</v>
      </c>
      <c r="O342" s="2"/>
      <c r="P342" s="4" t="str">
        <f>HYPERLINK("https://openlibrary.org/works/OL28566602W","Abrir enlace")</f>
        <v>Abrir enlace</v>
      </c>
      <c r="Q342" s="2"/>
      <c r="R342" s="2"/>
      <c r="S342" s="2"/>
      <c r="T342" s="2"/>
      <c r="U342" s="2"/>
      <c r="V342" s="2"/>
      <c r="W342" s="2"/>
      <c r="X342" s="2"/>
      <c r="Y342" s="2"/>
      <c r="Z342" s="2"/>
      <c r="AA342" s="2" t="s">
        <v>40</v>
      </c>
      <c r="AB342" s="2" t="s">
        <v>41</v>
      </c>
      <c r="AC342" s="2"/>
      <c r="AD342" s="2"/>
      <c r="AE342" s="2"/>
    </row>
    <row r="343" ht="15.75" customHeight="1">
      <c r="A343" s="2">
        <v>343.0</v>
      </c>
      <c r="B343" s="2" t="s">
        <v>1097</v>
      </c>
      <c r="C343" s="2"/>
      <c r="D343" s="2" t="s">
        <v>165</v>
      </c>
      <c r="E343" s="2" t="s">
        <v>64</v>
      </c>
      <c r="F343" s="3" t="s">
        <v>35</v>
      </c>
      <c r="G343" s="2"/>
      <c r="H343" s="2" t="s">
        <v>64</v>
      </c>
      <c r="I343" s="2" t="s">
        <v>36</v>
      </c>
      <c r="J343" s="2" t="s">
        <v>37</v>
      </c>
      <c r="K343" s="4" t="str">
        <f>HYPERLINK("https://openlibrary.org/works/OL24133961M","Abrir enlace")</f>
        <v>Abrir enlace</v>
      </c>
      <c r="L343" s="2" t="s">
        <v>1098</v>
      </c>
      <c r="M343" s="2"/>
      <c r="N343" s="2" t="s">
        <v>45</v>
      </c>
      <c r="O343" s="2"/>
      <c r="P343" s="4" t="str">
        <f>HYPERLINK("https://openlibrary.org/works/OL24133961M","Abrir enlace")</f>
        <v>Abrir enlace</v>
      </c>
      <c r="Q343" s="2"/>
      <c r="R343" s="2"/>
      <c r="S343" s="2"/>
      <c r="T343" s="2"/>
      <c r="U343" s="2"/>
      <c r="V343" s="2"/>
      <c r="W343" s="2"/>
      <c r="X343" s="2"/>
      <c r="Y343" s="2"/>
      <c r="Z343" s="2"/>
      <c r="AA343" s="2" t="s">
        <v>40</v>
      </c>
      <c r="AB343" s="2" t="s">
        <v>67</v>
      </c>
      <c r="AC343" s="2"/>
      <c r="AD343" s="2"/>
      <c r="AE343" s="2"/>
    </row>
    <row r="344" ht="15.75" customHeight="1">
      <c r="A344" s="2">
        <v>344.0</v>
      </c>
      <c r="B344" s="2" t="s">
        <v>1099</v>
      </c>
      <c r="C344" s="2" t="s">
        <v>1100</v>
      </c>
      <c r="D344" s="2" t="s">
        <v>33</v>
      </c>
      <c r="E344" s="2" t="s">
        <v>64</v>
      </c>
      <c r="F344" s="3" t="s">
        <v>35</v>
      </c>
      <c r="G344" s="2"/>
      <c r="H344" s="2" t="s">
        <v>64</v>
      </c>
      <c r="I344" s="2" t="s">
        <v>36</v>
      </c>
      <c r="J344" s="2" t="s">
        <v>1101</v>
      </c>
      <c r="K344" s="4" t="str">
        <f>HYPERLINK("https://archive.org/details/antigoneofsophoc0000soph_t9w3","Abrir enlace")</f>
        <v>Abrir enlace</v>
      </c>
      <c r="L344" s="2" t="s">
        <v>1102</v>
      </c>
      <c r="M344" s="2"/>
      <c r="N344" s="2" t="s">
        <v>54</v>
      </c>
      <c r="O344" s="2"/>
      <c r="P344" s="4" t="str">
        <f>HYPERLINK("https://archive.org/details/antigoneofsophoc0000soph_t9w3","Abrir enlace")</f>
        <v>Abrir enlace</v>
      </c>
      <c r="Q344" s="2"/>
      <c r="R344" s="2"/>
      <c r="S344" s="2"/>
      <c r="T344" s="2"/>
      <c r="U344" s="2"/>
      <c r="V344" s="2"/>
      <c r="W344" s="2"/>
      <c r="X344" s="2"/>
      <c r="Y344" s="2"/>
      <c r="Z344" s="2"/>
      <c r="AA344" s="2" t="s">
        <v>46</v>
      </c>
      <c r="AB344" s="2" t="s">
        <v>1103</v>
      </c>
      <c r="AC344" s="2"/>
      <c r="AD344" s="2"/>
      <c r="AE344" s="2"/>
    </row>
    <row r="345" ht="15.75" customHeight="1">
      <c r="A345" s="2">
        <v>345.0</v>
      </c>
      <c r="B345" s="2" t="s">
        <v>1104</v>
      </c>
      <c r="C345" s="2" t="s">
        <v>1105</v>
      </c>
      <c r="D345" s="2" t="s">
        <v>33</v>
      </c>
      <c r="E345" s="2" t="s">
        <v>64</v>
      </c>
      <c r="F345" s="2" t="s">
        <v>35</v>
      </c>
      <c r="G345" s="2"/>
      <c r="H345" s="2" t="s">
        <v>64</v>
      </c>
      <c r="I345" s="2" t="s">
        <v>36</v>
      </c>
      <c r="J345" s="2" t="s">
        <v>1106</v>
      </c>
      <c r="K345" s="4" t="str">
        <f>HYPERLINK("https://archive.org/details/nuovo-franciosini-grammatica-della-lingua-spagnuola","Abrir enlace")</f>
        <v>Abrir enlace</v>
      </c>
      <c r="L345" s="2" t="s">
        <v>1107</v>
      </c>
      <c r="M345" s="2"/>
      <c r="N345" s="2" t="s">
        <v>91</v>
      </c>
      <c r="O345" s="2" t="s">
        <v>1108</v>
      </c>
      <c r="P345" s="4" t="str">
        <f>HYPERLINK("https://archive.org/details/nuovo-franciosini-grammatica-della-lingua-spagnuola","Abrir enlace")</f>
        <v>Abrir enlace</v>
      </c>
      <c r="Q345" s="2" t="s">
        <v>1109</v>
      </c>
      <c r="R345" s="2" t="s">
        <v>1110</v>
      </c>
      <c r="S345" s="2" t="s">
        <v>45</v>
      </c>
      <c r="T345" s="2" t="s">
        <v>1111</v>
      </c>
      <c r="U345" s="4" t="str">
        <f>HYPERLINK("https://openlibrary.org/works/OL45705591W","Abrir enlace")</f>
        <v>Abrir enlace</v>
      </c>
      <c r="V345" s="2" t="s">
        <v>1112</v>
      </c>
      <c r="W345" s="2"/>
      <c r="X345" s="2" t="s">
        <v>91</v>
      </c>
      <c r="Y345" s="2" t="s">
        <v>1113</v>
      </c>
      <c r="Z345" s="4" t="str">
        <f>HYPERLINK("https://archive.org/details/grammaticadella00manegoog","Abrir enlace")</f>
        <v>Abrir enlace</v>
      </c>
      <c r="AA345" s="2"/>
      <c r="AB345" s="2"/>
      <c r="AC345" s="2"/>
      <c r="AD345" s="2"/>
      <c r="AE345" s="2"/>
    </row>
    <row r="346" ht="15.75" customHeight="1">
      <c r="A346" s="2">
        <v>346.0</v>
      </c>
      <c r="B346" s="2" t="s">
        <v>1114</v>
      </c>
      <c r="C346" s="2" t="s">
        <v>243</v>
      </c>
      <c r="D346" s="2" t="s">
        <v>33</v>
      </c>
      <c r="E346" s="2" t="s">
        <v>64</v>
      </c>
      <c r="F346" s="3" t="s">
        <v>35</v>
      </c>
      <c r="G346" s="2"/>
      <c r="H346" s="2" t="s">
        <v>64</v>
      </c>
      <c r="I346" s="2" t="s">
        <v>36</v>
      </c>
      <c r="J346" s="2" t="s">
        <v>37</v>
      </c>
      <c r="K346" s="4" t="str">
        <f>HYPERLINK("https://archive.org/details/oeuvresdhoraceen06hora","Abrir enlace")</f>
        <v>Abrir enlace</v>
      </c>
      <c r="L346" s="2" t="s">
        <v>1115</v>
      </c>
      <c r="M346" s="2"/>
      <c r="N346" s="2" t="s">
        <v>54</v>
      </c>
      <c r="O346" s="2"/>
      <c r="P346" s="4" t="str">
        <f>HYPERLINK("https://archive.org/details/oeuvresdhoraceen06hora","Abrir enlace")</f>
        <v>Abrir enlace</v>
      </c>
      <c r="Q346" s="2"/>
      <c r="R346" s="2"/>
      <c r="S346" s="2"/>
      <c r="T346" s="2"/>
      <c r="U346" s="2"/>
      <c r="V346" s="2"/>
      <c r="W346" s="2"/>
      <c r="X346" s="2"/>
      <c r="Y346" s="2"/>
      <c r="Z346" s="2"/>
      <c r="AA346" s="2" t="s">
        <v>60</v>
      </c>
      <c r="AB346" s="2" t="s">
        <v>67</v>
      </c>
      <c r="AC346" s="2"/>
      <c r="AD346" s="2"/>
      <c r="AE346" s="2"/>
    </row>
    <row r="347" ht="15.75" customHeight="1">
      <c r="A347" s="2">
        <v>347.0</v>
      </c>
      <c r="B347" s="2" t="s">
        <v>1116</v>
      </c>
      <c r="C347" s="2" t="s">
        <v>543</v>
      </c>
      <c r="D347" s="2" t="s">
        <v>33</v>
      </c>
      <c r="E347" s="2" t="s">
        <v>70</v>
      </c>
      <c r="F347" s="3" t="s">
        <v>35</v>
      </c>
      <c r="G347" s="2"/>
      <c r="H347" s="2" t="s">
        <v>70</v>
      </c>
      <c r="I347" s="2" t="s">
        <v>168</v>
      </c>
      <c r="J347" s="2" t="s">
        <v>1117</v>
      </c>
      <c r="K347" s="4" t="str">
        <f>HYPERLINK("https://openlibrary.org/works/OL1144814W","Abrir enlace")</f>
        <v>Abrir enlace</v>
      </c>
      <c r="L347" s="2" t="s">
        <v>1116</v>
      </c>
      <c r="M347" s="2"/>
      <c r="N347" s="2" t="s">
        <v>45</v>
      </c>
      <c r="O347" s="2"/>
      <c r="P347" s="4" t="str">
        <f>HYPERLINK("https://openlibrary.org/works/OL1144814W","Abrir enlace")</f>
        <v>Abrir enlace</v>
      </c>
      <c r="Q347" s="2"/>
      <c r="R347" s="2"/>
      <c r="S347" s="2"/>
      <c r="T347" s="2"/>
      <c r="U347" s="2"/>
      <c r="V347" s="2"/>
      <c r="W347" s="2"/>
      <c r="X347" s="2"/>
      <c r="Y347" s="2"/>
      <c r="Z347" s="2"/>
      <c r="AA347" s="2" t="s">
        <v>66</v>
      </c>
      <c r="AB347" s="2" t="s">
        <v>1118</v>
      </c>
      <c r="AC347" s="2"/>
      <c r="AD347" s="2"/>
      <c r="AE347" s="2"/>
    </row>
    <row r="348" ht="15.75" customHeight="1">
      <c r="A348" s="2">
        <v>348.0</v>
      </c>
      <c r="B348" s="2" t="s">
        <v>1119</v>
      </c>
      <c r="C348" s="2" t="s">
        <v>1120</v>
      </c>
      <c r="D348" s="2" t="s">
        <v>33</v>
      </c>
      <c r="E348" s="2" t="s">
        <v>64</v>
      </c>
      <c r="F348" s="3" t="s">
        <v>35</v>
      </c>
      <c r="G348" s="2"/>
      <c r="H348" s="2" t="s">
        <v>64</v>
      </c>
      <c r="I348" s="2" t="s">
        <v>36</v>
      </c>
      <c r="J348" s="2" t="s">
        <v>1121</v>
      </c>
      <c r="K348" s="4" t="str">
        <f>HYPERLINK("https://archive.org/details/lesmorticoles00daudgoog","Abrir enlace")</f>
        <v>Abrir enlace</v>
      </c>
      <c r="L348" s="2" t="s">
        <v>1122</v>
      </c>
      <c r="M348" s="2"/>
      <c r="N348" s="2" t="s">
        <v>54</v>
      </c>
      <c r="O348" s="2"/>
      <c r="P348" s="4" t="str">
        <f>HYPERLINK("https://archive.org/details/lesmorticoles00daudgoog","Abrir enlace")</f>
        <v>Abrir enlace</v>
      </c>
      <c r="Q348" s="2"/>
      <c r="R348" s="2"/>
      <c r="S348" s="2"/>
      <c r="T348" s="2"/>
      <c r="U348" s="2"/>
      <c r="V348" s="2"/>
      <c r="W348" s="2"/>
      <c r="X348" s="2"/>
      <c r="Y348" s="2"/>
      <c r="Z348" s="2"/>
      <c r="AA348" s="2" t="s">
        <v>40</v>
      </c>
      <c r="AB348" s="2" t="s">
        <v>1123</v>
      </c>
      <c r="AC348" s="2"/>
      <c r="AD348" s="2"/>
      <c r="AE348" s="2"/>
    </row>
    <row r="349" ht="15.75" customHeight="1">
      <c r="A349" s="2">
        <v>349.0</v>
      </c>
      <c r="B349" s="2" t="s">
        <v>1124</v>
      </c>
      <c r="C349" s="2" t="s">
        <v>1125</v>
      </c>
      <c r="D349" s="2" t="s">
        <v>33</v>
      </c>
      <c r="E349" s="2" t="s">
        <v>112</v>
      </c>
      <c r="F349" s="3" t="s">
        <v>35</v>
      </c>
      <c r="G349" s="2"/>
      <c r="H349" s="2" t="s">
        <v>112</v>
      </c>
      <c r="I349" s="2" t="s">
        <v>36</v>
      </c>
      <c r="J349" s="2" t="s">
        <v>37</v>
      </c>
      <c r="K349" s="4" t="str">
        <f t="shared" ref="K349:K352" si="35">HYPERLINK("https://archive.org/details/historiadelfamos02isla_0","Abrir enlace")</f>
        <v>Abrir enlace</v>
      </c>
      <c r="L349" s="2" t="s">
        <v>1126</v>
      </c>
      <c r="M349" s="2"/>
      <c r="N349" s="2" t="s">
        <v>54</v>
      </c>
      <c r="O349" s="2"/>
      <c r="P349" s="4" t="str">
        <f t="shared" ref="P349:P352" si="36">HYPERLINK("https://archive.org/details/historiadelfamos02isla_0","Abrir enlace")</f>
        <v>Abrir enlace</v>
      </c>
      <c r="Q349" s="2"/>
      <c r="R349" s="2"/>
      <c r="S349" s="2"/>
      <c r="T349" s="2"/>
      <c r="U349" s="2"/>
      <c r="V349" s="2"/>
      <c r="W349" s="2"/>
      <c r="X349" s="2"/>
      <c r="Y349" s="2"/>
      <c r="Z349" s="2"/>
      <c r="AA349" s="2" t="s">
        <v>51</v>
      </c>
      <c r="AB349" s="2" t="s">
        <v>114</v>
      </c>
      <c r="AC349" s="2"/>
      <c r="AD349" s="2"/>
      <c r="AE349" s="2"/>
    </row>
    <row r="350" ht="15.75" customHeight="1">
      <c r="A350" s="2">
        <v>350.0</v>
      </c>
      <c r="B350" s="2" t="s">
        <v>1124</v>
      </c>
      <c r="C350" s="2" t="s">
        <v>1125</v>
      </c>
      <c r="D350" s="2" t="s">
        <v>33</v>
      </c>
      <c r="E350" s="2" t="s">
        <v>112</v>
      </c>
      <c r="F350" s="3" t="s">
        <v>35</v>
      </c>
      <c r="G350" s="2"/>
      <c r="H350" s="2" t="s">
        <v>112</v>
      </c>
      <c r="I350" s="2" t="s">
        <v>36</v>
      </c>
      <c r="J350" s="2" t="s">
        <v>37</v>
      </c>
      <c r="K350" s="4" t="str">
        <f t="shared" si="35"/>
        <v>Abrir enlace</v>
      </c>
      <c r="L350" s="2" t="s">
        <v>1126</v>
      </c>
      <c r="M350" s="2"/>
      <c r="N350" s="2" t="s">
        <v>54</v>
      </c>
      <c r="O350" s="2"/>
      <c r="P350" s="4" t="str">
        <f t="shared" si="36"/>
        <v>Abrir enlace</v>
      </c>
      <c r="Q350" s="2"/>
      <c r="R350" s="2"/>
      <c r="S350" s="2"/>
      <c r="T350" s="2"/>
      <c r="U350" s="2"/>
      <c r="V350" s="2"/>
      <c r="W350" s="2"/>
      <c r="X350" s="2"/>
      <c r="Y350" s="2"/>
      <c r="Z350" s="2"/>
      <c r="AA350" s="2" t="s">
        <v>51</v>
      </c>
      <c r="AB350" s="2" t="s">
        <v>114</v>
      </c>
      <c r="AC350" s="2"/>
      <c r="AD350" s="2"/>
      <c r="AE350" s="2"/>
    </row>
    <row r="351" ht="15.75" customHeight="1">
      <c r="A351" s="2">
        <v>351.0</v>
      </c>
      <c r="B351" s="2" t="s">
        <v>1124</v>
      </c>
      <c r="C351" s="2" t="s">
        <v>1125</v>
      </c>
      <c r="D351" s="2" t="s">
        <v>33</v>
      </c>
      <c r="E351" s="2" t="s">
        <v>112</v>
      </c>
      <c r="F351" s="3" t="s">
        <v>35</v>
      </c>
      <c r="G351" s="2"/>
      <c r="H351" s="2" t="s">
        <v>112</v>
      </c>
      <c r="I351" s="2" t="s">
        <v>36</v>
      </c>
      <c r="J351" s="2" t="s">
        <v>37</v>
      </c>
      <c r="K351" s="4" t="str">
        <f t="shared" si="35"/>
        <v>Abrir enlace</v>
      </c>
      <c r="L351" s="2" t="s">
        <v>1126</v>
      </c>
      <c r="M351" s="2"/>
      <c r="N351" s="2" t="s">
        <v>54</v>
      </c>
      <c r="O351" s="2"/>
      <c r="P351" s="4" t="str">
        <f t="shared" si="36"/>
        <v>Abrir enlace</v>
      </c>
      <c r="Q351" s="2"/>
      <c r="R351" s="2"/>
      <c r="S351" s="2"/>
      <c r="T351" s="2"/>
      <c r="U351" s="2"/>
      <c r="V351" s="2"/>
      <c r="W351" s="2"/>
      <c r="X351" s="2"/>
      <c r="Y351" s="2"/>
      <c r="Z351" s="2"/>
      <c r="AA351" s="2" t="s">
        <v>51</v>
      </c>
      <c r="AB351" s="2" t="s">
        <v>114</v>
      </c>
      <c r="AC351" s="2"/>
      <c r="AD351" s="2"/>
      <c r="AE351" s="2"/>
    </row>
    <row r="352" ht="15.75" customHeight="1">
      <c r="A352" s="2">
        <v>352.0</v>
      </c>
      <c r="B352" s="2" t="s">
        <v>1124</v>
      </c>
      <c r="C352" s="2" t="s">
        <v>1125</v>
      </c>
      <c r="D352" s="2" t="s">
        <v>33</v>
      </c>
      <c r="E352" s="2" t="s">
        <v>112</v>
      </c>
      <c r="F352" s="3" t="s">
        <v>35</v>
      </c>
      <c r="G352" s="2"/>
      <c r="H352" s="2" t="s">
        <v>112</v>
      </c>
      <c r="I352" s="2" t="s">
        <v>36</v>
      </c>
      <c r="J352" s="2" t="s">
        <v>37</v>
      </c>
      <c r="K352" s="4" t="str">
        <f t="shared" si="35"/>
        <v>Abrir enlace</v>
      </c>
      <c r="L352" s="2" t="s">
        <v>1126</v>
      </c>
      <c r="M352" s="2"/>
      <c r="N352" s="2" t="s">
        <v>54</v>
      </c>
      <c r="O352" s="2"/>
      <c r="P352" s="4" t="str">
        <f t="shared" si="36"/>
        <v>Abrir enlace</v>
      </c>
      <c r="Q352" s="2"/>
      <c r="R352" s="2"/>
      <c r="S352" s="2"/>
      <c r="T352" s="2"/>
      <c r="U352" s="2"/>
      <c r="V352" s="2"/>
      <c r="W352" s="2"/>
      <c r="X352" s="2"/>
      <c r="Y352" s="2"/>
      <c r="Z352" s="2"/>
      <c r="AA352" s="2" t="s">
        <v>51</v>
      </c>
      <c r="AB352" s="2" t="s">
        <v>114</v>
      </c>
      <c r="AC352" s="2"/>
      <c r="AD352" s="2"/>
      <c r="AE352" s="2"/>
    </row>
    <row r="353" ht="15.75" customHeight="1">
      <c r="A353" s="2">
        <v>353.0</v>
      </c>
      <c r="B353" s="2" t="s">
        <v>1127</v>
      </c>
      <c r="C353" s="2" t="s">
        <v>1128</v>
      </c>
      <c r="D353" s="2" t="s">
        <v>33</v>
      </c>
      <c r="E353" s="2" t="s">
        <v>70</v>
      </c>
      <c r="F353" s="3" t="s">
        <v>35</v>
      </c>
      <c r="G353" s="2"/>
      <c r="H353" s="2" t="s">
        <v>70</v>
      </c>
      <c r="I353" s="2" t="s">
        <v>36</v>
      </c>
      <c r="J353" s="2" t="s">
        <v>37</v>
      </c>
      <c r="K353" s="4" t="str">
        <f>HYPERLINK("https://openlibrary.org/works/OL7862285W","Abrir enlace")</f>
        <v>Abrir enlace</v>
      </c>
      <c r="L353" s="2" t="s">
        <v>1129</v>
      </c>
      <c r="M353" s="2"/>
      <c r="N353" s="2" t="s">
        <v>45</v>
      </c>
      <c r="O353" s="2"/>
      <c r="P353" s="4" t="str">
        <f>HYPERLINK("https://openlibrary.org/works/OL7862285W","Abrir enlace")</f>
        <v>Abrir enlace</v>
      </c>
      <c r="Q353" s="2"/>
      <c r="R353" s="2"/>
      <c r="S353" s="2"/>
      <c r="T353" s="2"/>
      <c r="U353" s="2"/>
      <c r="V353" s="2"/>
      <c r="W353" s="2"/>
      <c r="X353" s="2"/>
      <c r="Y353" s="2"/>
      <c r="Z353" s="2"/>
      <c r="AA353" s="2" t="s">
        <v>40</v>
      </c>
      <c r="AB353" s="2" t="s">
        <v>72</v>
      </c>
      <c r="AC353" s="2"/>
      <c r="AD353" s="2"/>
      <c r="AE353" s="2"/>
    </row>
    <row r="354" ht="15.75" customHeight="1">
      <c r="A354" s="2">
        <v>354.0</v>
      </c>
      <c r="B354" s="2" t="s">
        <v>1130</v>
      </c>
      <c r="C354" s="2" t="s">
        <v>1131</v>
      </c>
      <c r="D354" s="2" t="s">
        <v>33</v>
      </c>
      <c r="E354" s="2" t="s">
        <v>34</v>
      </c>
      <c r="F354" s="3" t="s">
        <v>35</v>
      </c>
      <c r="G354" s="2"/>
      <c r="H354" s="2" t="s">
        <v>34</v>
      </c>
      <c r="I354" s="2" t="s">
        <v>36</v>
      </c>
      <c r="J354" s="2" t="s">
        <v>37</v>
      </c>
      <c r="K354" s="4" t="str">
        <f>HYPERLINK("https://openlibrary.org/works/OL41284953W","Abrir enlace")</f>
        <v>Abrir enlace</v>
      </c>
      <c r="L354" s="2" t="s">
        <v>1132</v>
      </c>
      <c r="M354" s="2"/>
      <c r="N354" s="2" t="s">
        <v>45</v>
      </c>
      <c r="O354" s="2"/>
      <c r="P354" s="4" t="str">
        <f>HYPERLINK("https://openlibrary.org/works/OL41284953W","Abrir enlace")</f>
        <v>Abrir enlace</v>
      </c>
      <c r="Q354" s="2"/>
      <c r="R354" s="2"/>
      <c r="S354" s="2"/>
      <c r="T354" s="2"/>
      <c r="U354" s="2"/>
      <c r="V354" s="2"/>
      <c r="W354" s="2"/>
      <c r="X354" s="2"/>
      <c r="Y354" s="2"/>
      <c r="Z354" s="2"/>
      <c r="AA354" s="2" t="s">
        <v>51</v>
      </c>
      <c r="AB354" s="2" t="s">
        <v>41</v>
      </c>
      <c r="AC354" s="2"/>
      <c r="AD354" s="2"/>
      <c r="AE354" s="2"/>
    </row>
    <row r="355" ht="15.75" customHeight="1">
      <c r="A355" s="2">
        <v>355.0</v>
      </c>
      <c r="B355" s="2" t="s">
        <v>1133</v>
      </c>
      <c r="C355" s="2" t="s">
        <v>1134</v>
      </c>
      <c r="D355" s="2" t="s">
        <v>33</v>
      </c>
      <c r="E355" s="2" t="s">
        <v>64</v>
      </c>
      <c r="F355" s="3" t="s">
        <v>35</v>
      </c>
      <c r="G355" s="2"/>
      <c r="H355" s="2" t="s">
        <v>64</v>
      </c>
      <c r="I355" s="2" t="s">
        <v>36</v>
      </c>
      <c r="J355" s="2" t="s">
        <v>1135</v>
      </c>
      <c r="K355" s="4" t="str">
        <f>HYPERLINK("https://openlibrary.org/works/OL18052643W","Abrir enlace")</f>
        <v>Abrir enlace</v>
      </c>
      <c r="L355" s="2" t="s">
        <v>1136</v>
      </c>
      <c r="M355" s="2"/>
      <c r="N355" s="2" t="s">
        <v>45</v>
      </c>
      <c r="O355" s="2"/>
      <c r="P355" s="4" t="str">
        <f>HYPERLINK("https://openlibrary.org/works/OL18052643W","Abrir enlace")</f>
        <v>Abrir enlace</v>
      </c>
      <c r="Q355" s="2"/>
      <c r="R355" s="2"/>
      <c r="S355" s="2"/>
      <c r="T355" s="2"/>
      <c r="U355" s="2"/>
      <c r="V355" s="2"/>
      <c r="W355" s="2"/>
      <c r="X355" s="2"/>
      <c r="Y355" s="2"/>
      <c r="Z355" s="2"/>
      <c r="AA355" s="2" t="s">
        <v>51</v>
      </c>
      <c r="AB355" s="2" t="s">
        <v>258</v>
      </c>
      <c r="AC355" s="2"/>
      <c r="AD355" s="2"/>
      <c r="AE355" s="2"/>
    </row>
    <row r="356" ht="15.75" customHeight="1">
      <c r="A356" s="2">
        <v>356.0</v>
      </c>
      <c r="B356" s="2" t="s">
        <v>1137</v>
      </c>
      <c r="C356" s="2" t="s">
        <v>1138</v>
      </c>
      <c r="D356" s="2" t="s">
        <v>33</v>
      </c>
      <c r="E356" s="2" t="s">
        <v>70</v>
      </c>
      <c r="F356" s="3" t="s">
        <v>35</v>
      </c>
      <c r="G356" s="2"/>
      <c r="H356" s="2" t="s">
        <v>70</v>
      </c>
      <c r="I356" s="2" t="s">
        <v>36</v>
      </c>
      <c r="J356" s="2" t="s">
        <v>1139</v>
      </c>
      <c r="K356" s="4" t="str">
        <f>HYPERLINK("https://openlibrary.org/works/OL44828799W","Abrir enlace")</f>
        <v>Abrir enlace</v>
      </c>
      <c r="L356" s="2" t="s">
        <v>1137</v>
      </c>
      <c r="M356" s="2"/>
      <c r="N356" s="2" t="s">
        <v>45</v>
      </c>
      <c r="O356" s="2"/>
      <c r="P356" s="4" t="str">
        <f>HYPERLINK("https://openlibrary.org/works/OL44828799W","Abrir enlace")</f>
        <v>Abrir enlace</v>
      </c>
      <c r="Q356" s="2"/>
      <c r="R356" s="2"/>
      <c r="S356" s="2"/>
      <c r="T356" s="2"/>
      <c r="U356" s="2"/>
      <c r="V356" s="2"/>
      <c r="W356" s="2"/>
      <c r="X356" s="2"/>
      <c r="Y356" s="2"/>
      <c r="Z356" s="2"/>
      <c r="AA356" s="2" t="s">
        <v>66</v>
      </c>
      <c r="AB356" s="2" t="s">
        <v>945</v>
      </c>
      <c r="AC356" s="2"/>
      <c r="AD356" s="2"/>
      <c r="AE356" s="2"/>
    </row>
    <row r="357" ht="15.75" customHeight="1">
      <c r="A357" s="2">
        <v>357.0</v>
      </c>
      <c r="B357" s="2" t="s">
        <v>1140</v>
      </c>
      <c r="C357" s="2" t="s">
        <v>794</v>
      </c>
      <c r="D357" s="2" t="s">
        <v>33</v>
      </c>
      <c r="E357" s="2" t="s">
        <v>70</v>
      </c>
      <c r="F357" s="2" t="s">
        <v>667</v>
      </c>
      <c r="G357" s="2" t="s">
        <v>1141</v>
      </c>
      <c r="H357" s="2" t="s">
        <v>112</v>
      </c>
      <c r="I357" s="2" t="s">
        <v>189</v>
      </c>
      <c r="J357" s="2" t="s">
        <v>1142</v>
      </c>
      <c r="K357" s="2"/>
      <c r="L357" s="2" t="s">
        <v>1143</v>
      </c>
      <c r="M357" s="2"/>
      <c r="N357" s="2" t="s">
        <v>91</v>
      </c>
      <c r="O357" s="2" t="s">
        <v>1144</v>
      </c>
      <c r="P357" s="2"/>
      <c r="Q357" s="2" t="s">
        <v>1145</v>
      </c>
      <c r="R357" s="2"/>
      <c r="S357" s="2" t="s">
        <v>91</v>
      </c>
      <c r="T357" s="2" t="s">
        <v>1146</v>
      </c>
      <c r="U357" s="4" t="str">
        <f>HYPERLINK("https://www.iberlibro.com/ALEGRIA-CARACCIOLO-MARQUÉS-Josef-Urrutia/32376578627/bd","Abrir enlace")</f>
        <v>Abrir enlace</v>
      </c>
      <c r="V357" s="2" t="s">
        <v>1147</v>
      </c>
      <c r="W357" s="2"/>
      <c r="X357" s="2" t="s">
        <v>54</v>
      </c>
      <c r="Y357" s="2" t="s">
        <v>1148</v>
      </c>
      <c r="Z357" s="4" t="str">
        <f>HYPERLINK("https://archive.org/details/gov.uscourts.nyeb.473923","Abrir enlace")</f>
        <v>Abrir enlace</v>
      </c>
      <c r="AA357" s="2"/>
      <c r="AB357" s="2"/>
      <c r="AC357" s="2"/>
      <c r="AD357" s="2"/>
      <c r="AE357" s="2"/>
    </row>
    <row r="358" ht="15.75" customHeight="1">
      <c r="A358" s="2">
        <v>358.0</v>
      </c>
      <c r="B358" s="2" t="s">
        <v>1149</v>
      </c>
      <c r="C358" s="2" t="s">
        <v>1150</v>
      </c>
      <c r="D358" s="2" t="s">
        <v>33</v>
      </c>
      <c r="E358" s="2" t="s">
        <v>70</v>
      </c>
      <c r="F358" s="2" t="s">
        <v>35</v>
      </c>
      <c r="G358" s="2"/>
      <c r="H358" s="2" t="s">
        <v>70</v>
      </c>
      <c r="I358" s="2" t="s">
        <v>36</v>
      </c>
      <c r="J358" s="2" t="s">
        <v>1151</v>
      </c>
      <c r="K358" s="4" t="str">
        <f>HYPERLINK("https://catalog.hathitrust.org/Record/009299510","Abrir enlace")</f>
        <v>Abrir enlace</v>
      </c>
      <c r="L358" s="2" t="s">
        <v>1152</v>
      </c>
      <c r="M358" s="2"/>
      <c r="N358" s="2" t="s">
        <v>91</v>
      </c>
      <c r="O358" s="2" t="s">
        <v>1153</v>
      </c>
      <c r="P358" s="4" t="str">
        <f>HYPERLINK("https://catalog.hathitrust.org/Record/009299510","Abrir enlace")</f>
        <v>Abrir enlace</v>
      </c>
      <c r="Q358" s="2" t="s">
        <v>1154</v>
      </c>
      <c r="R358" s="2"/>
      <c r="S358" s="2" t="s">
        <v>91</v>
      </c>
      <c r="T358" s="2" t="s">
        <v>1155</v>
      </c>
      <c r="U358" s="4" t="str">
        <f>HYPERLINK("https://books.google.com/books/about/Descripcion_de_la_fabrica_del_cuerpo_hum.html?id=jQLjESHGdCoC","Abrir enlace")</f>
        <v>Abrir enlace</v>
      </c>
      <c r="V358" s="2" t="s">
        <v>1156</v>
      </c>
      <c r="W358" s="2"/>
      <c r="X358" s="2" t="s">
        <v>91</v>
      </c>
      <c r="Y358" s="2" t="s">
        <v>1157</v>
      </c>
      <c r="Z358" s="4" t="str">
        <f>HYPERLINK("https://es.scribd.com/presentation/292325030/Granadas","Abrir enlace")</f>
        <v>Abrir enlace</v>
      </c>
      <c r="AA358" s="2"/>
      <c r="AB358" s="2"/>
      <c r="AC358" s="2"/>
      <c r="AD358" s="2"/>
      <c r="AE358" s="2"/>
    </row>
    <row r="359" ht="15.75" customHeight="1">
      <c r="A359" s="2">
        <v>359.0</v>
      </c>
      <c r="B359" s="2" t="s">
        <v>1158</v>
      </c>
      <c r="C359" s="2" t="s">
        <v>1159</v>
      </c>
      <c r="D359" s="2" t="s">
        <v>33</v>
      </c>
      <c r="E359" s="2" t="s">
        <v>70</v>
      </c>
      <c r="F359" s="3" t="s">
        <v>35</v>
      </c>
      <c r="G359" s="2"/>
      <c r="H359" s="2" t="s">
        <v>70</v>
      </c>
      <c r="I359" s="2" t="s">
        <v>36</v>
      </c>
      <c r="J359" s="2" t="s">
        <v>1160</v>
      </c>
      <c r="K359" s="4" t="str">
        <f>HYPERLINK("https://archive.org/details/traitthoriqueetp00boui","Abrir enlace")</f>
        <v>Abrir enlace</v>
      </c>
      <c r="L359" s="2" t="s">
        <v>1161</v>
      </c>
      <c r="M359" s="2"/>
      <c r="N359" s="2" t="s">
        <v>54</v>
      </c>
      <c r="O359" s="2"/>
      <c r="P359" s="4" t="str">
        <f>HYPERLINK("https://archive.org/details/traitthoriqueetp00boui","Abrir enlace")</f>
        <v>Abrir enlace</v>
      </c>
      <c r="Q359" s="2"/>
      <c r="R359" s="2"/>
      <c r="S359" s="2"/>
      <c r="T359" s="2"/>
      <c r="U359" s="2"/>
      <c r="V359" s="2"/>
      <c r="W359" s="2"/>
      <c r="X359" s="2"/>
      <c r="Y359" s="2"/>
      <c r="Z359" s="2"/>
      <c r="AA359" s="2" t="s">
        <v>40</v>
      </c>
      <c r="AB359" s="2" t="s">
        <v>1162</v>
      </c>
      <c r="AC359" s="2"/>
      <c r="AD359" s="2"/>
      <c r="AE359" s="2"/>
    </row>
    <row r="360" ht="15.75" customHeight="1">
      <c r="A360" s="2">
        <v>360.0</v>
      </c>
      <c r="B360" s="2" t="s">
        <v>1163</v>
      </c>
      <c r="C360" s="2" t="s">
        <v>1164</v>
      </c>
      <c r="D360" s="2" t="s">
        <v>33</v>
      </c>
      <c r="E360" s="2" t="s">
        <v>70</v>
      </c>
      <c r="F360" s="3" t="s">
        <v>35</v>
      </c>
      <c r="G360" s="2"/>
      <c r="H360" s="2" t="s">
        <v>70</v>
      </c>
      <c r="I360" s="2" t="s">
        <v>36</v>
      </c>
      <c r="J360" s="2" t="s">
        <v>1165</v>
      </c>
      <c r="K360" s="4" t="str">
        <f>HYPERLINK("https://openlibrary.org/works/OL34812744W","Abrir enlace")</f>
        <v>Abrir enlace</v>
      </c>
      <c r="L360" s="2" t="s">
        <v>1166</v>
      </c>
      <c r="M360" s="2"/>
      <c r="N360" s="2" t="s">
        <v>45</v>
      </c>
      <c r="O360" s="2"/>
      <c r="P360" s="4" t="str">
        <f>HYPERLINK("https://openlibrary.org/works/OL34812744W","Abrir enlace")</f>
        <v>Abrir enlace</v>
      </c>
      <c r="Q360" s="2"/>
      <c r="R360" s="2"/>
      <c r="S360" s="2"/>
      <c r="T360" s="2"/>
      <c r="U360" s="2"/>
      <c r="V360" s="2"/>
      <c r="W360" s="2"/>
      <c r="X360" s="2"/>
      <c r="Y360" s="2"/>
      <c r="Z360" s="2"/>
      <c r="AA360" s="2" t="s">
        <v>51</v>
      </c>
      <c r="AB360" s="2" t="s">
        <v>1167</v>
      </c>
      <c r="AC360" s="2"/>
      <c r="AD360" s="2"/>
      <c r="AE360" s="2"/>
    </row>
    <row r="361" ht="15.75" customHeight="1">
      <c r="A361" s="2">
        <v>361.0</v>
      </c>
      <c r="B361" s="2" t="s">
        <v>1168</v>
      </c>
      <c r="C361" s="2" t="s">
        <v>1169</v>
      </c>
      <c r="D361" s="2" t="s">
        <v>33</v>
      </c>
      <c r="E361" s="2" t="s">
        <v>70</v>
      </c>
      <c r="F361" s="3" t="s">
        <v>35</v>
      </c>
      <c r="G361" s="2"/>
      <c r="H361" s="2" t="s">
        <v>70</v>
      </c>
      <c r="I361" s="2" t="s">
        <v>36</v>
      </c>
      <c r="J361" s="2" t="s">
        <v>37</v>
      </c>
      <c r="K361" s="4" t="str">
        <f>HYPERLINK("https://archive.org/details/BRes140548","Abrir enlace")</f>
        <v>Abrir enlace</v>
      </c>
      <c r="L361" s="2" t="s">
        <v>1170</v>
      </c>
      <c r="M361" s="2"/>
      <c r="N361" s="2" t="s">
        <v>54</v>
      </c>
      <c r="O361" s="2"/>
      <c r="P361" s="4" t="str">
        <f>HYPERLINK("https://archive.org/details/BRes140548","Abrir enlace")</f>
        <v>Abrir enlace</v>
      </c>
      <c r="Q361" s="2"/>
      <c r="R361" s="2"/>
      <c r="S361" s="2"/>
      <c r="T361" s="2"/>
      <c r="U361" s="2"/>
      <c r="V361" s="2"/>
      <c r="W361" s="2"/>
      <c r="X361" s="2"/>
      <c r="Y361" s="2"/>
      <c r="Z361" s="2"/>
      <c r="AA361" s="2" t="s">
        <v>51</v>
      </c>
      <c r="AB361" s="2" t="s">
        <v>72</v>
      </c>
      <c r="AC361" s="2"/>
      <c r="AD361" s="2"/>
      <c r="AE361" s="2"/>
    </row>
    <row r="362" ht="15.75" customHeight="1">
      <c r="A362" s="2">
        <v>362.0</v>
      </c>
      <c r="B362" s="2" t="s">
        <v>1171</v>
      </c>
      <c r="C362" s="2" t="s">
        <v>1172</v>
      </c>
      <c r="D362" s="2" t="s">
        <v>33</v>
      </c>
      <c r="E362" s="2" t="s">
        <v>70</v>
      </c>
      <c r="F362" s="2" t="s">
        <v>35</v>
      </c>
      <c r="G362" s="2"/>
      <c r="H362" s="2" t="s">
        <v>70</v>
      </c>
      <c r="I362" s="2" t="s">
        <v>36</v>
      </c>
      <c r="J362" s="2" t="s">
        <v>1173</v>
      </c>
      <c r="K362" s="4" t="str">
        <f>HYPERLINK("https://opactest.db.uanl.mx/cgi-bin/koha/opac-detail.pl?biblionumber=76297","Abrir enlace")</f>
        <v>Abrir enlace</v>
      </c>
      <c r="L362" s="2" t="s">
        <v>1174</v>
      </c>
      <c r="M362" s="2"/>
      <c r="N362" s="2" t="s">
        <v>91</v>
      </c>
      <c r="O362" s="2" t="s">
        <v>1175</v>
      </c>
      <c r="P362" s="4" t="str">
        <f>HYPERLINK("https://opactest.db.uanl.mx/cgi-bin/koha/opac-detail.pl?biblionumber=76297","Abrir enlace")</f>
        <v>Abrir enlace</v>
      </c>
      <c r="Q362" s="2" t="s">
        <v>1176</v>
      </c>
      <c r="R362" s="2"/>
      <c r="S362" s="2" t="s">
        <v>91</v>
      </c>
      <c r="T362" s="2" t="s">
        <v>1177</v>
      </c>
      <c r="U362" s="4" t="str">
        <f>HYPERLINK("https://archive.org/details/bub_gb_I-oxYq0om4IC","Abrir enlace")</f>
        <v>Abrir enlace</v>
      </c>
      <c r="V362" s="2" t="s">
        <v>1178</v>
      </c>
      <c r="W362" s="2"/>
      <c r="X362" s="2" t="s">
        <v>91</v>
      </c>
      <c r="Y362" s="2" t="s">
        <v>1179</v>
      </c>
      <c r="Z362" s="4" t="str">
        <f>HYPERLINK("https://books.google.com/books/about/JO_Gottlieb_Heineccii_Elementa_philosoph.html?id=P96ujDxSgaYC","Abrir enlace")</f>
        <v>Abrir enlace</v>
      </c>
      <c r="AA362" s="2"/>
      <c r="AB362" s="2"/>
      <c r="AC362" s="2"/>
      <c r="AD362" s="2"/>
      <c r="AE362" s="2"/>
    </row>
    <row r="363" ht="15.75" customHeight="1">
      <c r="A363" s="2">
        <v>363.0</v>
      </c>
      <c r="B363" s="2" t="s">
        <v>1180</v>
      </c>
      <c r="C363" s="2"/>
      <c r="D363" s="2" t="s">
        <v>49</v>
      </c>
      <c r="E363" s="2" t="s">
        <v>34</v>
      </c>
      <c r="F363" s="2" t="s">
        <v>35</v>
      </c>
      <c r="G363" s="2"/>
      <c r="H363" s="2" t="s">
        <v>34</v>
      </c>
      <c r="I363" s="2" t="s">
        <v>36</v>
      </c>
      <c r="J363" s="2" t="s">
        <v>1181</v>
      </c>
      <c r="K363" s="4" t="str">
        <f>HYPERLINK("https://libreriasdeocasion.com.mx/historia/historia-universal/edad-antigua/catecismo-de-historia-del-bajo-imperio.html","Abrir enlace")</f>
        <v>Abrir enlace</v>
      </c>
      <c r="L363" s="2" t="s">
        <v>1182</v>
      </c>
      <c r="M363" s="2"/>
      <c r="N363" s="2" t="s">
        <v>91</v>
      </c>
      <c r="O363" s="2" t="s">
        <v>1183</v>
      </c>
      <c r="P363" s="4" t="str">
        <f>HYPERLINK("https://libreriasdeocasion.com.mx/historia/historia-universal/edad-antigua/catecismo-de-historia-del-bajo-imperio.html","Abrir enlace")</f>
        <v>Abrir enlace</v>
      </c>
      <c r="Q363" s="2" t="s">
        <v>1184</v>
      </c>
      <c r="R363" s="2"/>
      <c r="S363" s="2" t="s">
        <v>91</v>
      </c>
      <c r="T363" s="2" t="s">
        <v>1185</v>
      </c>
      <c r="U363" s="4" t="str">
        <f>HYPERLINK("https://www.antoniomateos.com/historia-y-geografia-universal/20403-catecismo-de-la-historia-del-bajo-imperio.html","Abrir enlace")</f>
        <v>Abrir enlace</v>
      </c>
      <c r="V363" s="2" t="s">
        <v>1186</v>
      </c>
      <c r="W363" s="2"/>
      <c r="X363" s="2" t="s">
        <v>91</v>
      </c>
      <c r="Y363" s="2" t="s">
        <v>1187</v>
      </c>
      <c r="Z363" s="4" t="str">
        <f>HYPERLINK("https://archive.org/details/catecismodehisto00estr","Abrir enlace")</f>
        <v>Abrir enlace</v>
      </c>
      <c r="AA363" s="2"/>
      <c r="AB363" s="2"/>
      <c r="AC363" s="2"/>
      <c r="AD363" s="2"/>
      <c r="AE363" s="2"/>
    </row>
    <row r="364" ht="15.75" customHeight="1">
      <c r="A364" s="2">
        <v>364.0</v>
      </c>
      <c r="B364" s="2" t="s">
        <v>1188</v>
      </c>
      <c r="C364" s="2" t="s">
        <v>1189</v>
      </c>
      <c r="D364" s="2" t="s">
        <v>33</v>
      </c>
      <c r="E364" s="2" t="s">
        <v>34</v>
      </c>
      <c r="F364" s="3" t="s">
        <v>35</v>
      </c>
      <c r="G364" s="2"/>
      <c r="H364" s="2" t="s">
        <v>34</v>
      </c>
      <c r="I364" s="2" t="s">
        <v>168</v>
      </c>
      <c r="J364" s="2" t="s">
        <v>1190</v>
      </c>
      <c r="K364" s="4" t="str">
        <f>HYPERLINK("https://archive.org/details/soulofthefareast00loweiala","Abrir enlace")</f>
        <v>Abrir enlace</v>
      </c>
      <c r="L364" s="2" t="s">
        <v>1191</v>
      </c>
      <c r="M364" s="2"/>
      <c r="N364" s="2" t="s">
        <v>54</v>
      </c>
      <c r="O364" s="2"/>
      <c r="P364" s="4" t="str">
        <f>HYPERLINK("https://archive.org/details/soulofthefareast00loweiala","Abrir enlace")</f>
        <v>Abrir enlace</v>
      </c>
      <c r="Q364" s="2"/>
      <c r="R364" s="2"/>
      <c r="S364" s="2"/>
      <c r="T364" s="2"/>
      <c r="U364" s="2"/>
      <c r="V364" s="2"/>
      <c r="W364" s="2"/>
      <c r="X364" s="2"/>
      <c r="Y364" s="2"/>
      <c r="Z364" s="2"/>
      <c r="AA364" s="2" t="s">
        <v>66</v>
      </c>
      <c r="AB364" s="2" t="s">
        <v>1192</v>
      </c>
      <c r="AC364" s="2"/>
      <c r="AD364" s="2"/>
      <c r="AE364" s="2"/>
    </row>
    <row r="365" ht="15.75" customHeight="1">
      <c r="A365" s="2">
        <v>365.0</v>
      </c>
      <c r="B365" s="2" t="s">
        <v>1193</v>
      </c>
      <c r="C365" s="2" t="s">
        <v>1194</v>
      </c>
      <c r="D365" s="2" t="s">
        <v>33</v>
      </c>
      <c r="E365" s="2" t="s">
        <v>64</v>
      </c>
      <c r="F365" s="3" t="s">
        <v>35</v>
      </c>
      <c r="G365" s="2"/>
      <c r="H365" s="2" t="s">
        <v>64</v>
      </c>
      <c r="I365" s="2" t="s">
        <v>36</v>
      </c>
      <c r="J365" s="2" t="s">
        <v>37</v>
      </c>
      <c r="K365" s="4" t="str">
        <f>HYPERLINK("https://openlibrary.org/works/OL33150321W","Abrir enlace")</f>
        <v>Abrir enlace</v>
      </c>
      <c r="L365" s="2" t="s">
        <v>1193</v>
      </c>
      <c r="M365" s="2"/>
      <c r="N365" s="2" t="s">
        <v>45</v>
      </c>
      <c r="O365" s="2"/>
      <c r="P365" s="4" t="str">
        <f>HYPERLINK("https://openlibrary.org/works/OL33150321W","Abrir enlace")</f>
        <v>Abrir enlace</v>
      </c>
      <c r="Q365" s="2"/>
      <c r="R365" s="2"/>
      <c r="S365" s="2"/>
      <c r="T365" s="2"/>
      <c r="U365" s="2"/>
      <c r="V365" s="2"/>
      <c r="W365" s="2"/>
      <c r="X365" s="2"/>
      <c r="Y365" s="2"/>
      <c r="Z365" s="2"/>
      <c r="AA365" s="2" t="s">
        <v>51</v>
      </c>
      <c r="AB365" s="2" t="s">
        <v>67</v>
      </c>
      <c r="AC365" s="2"/>
      <c r="AD365" s="2"/>
      <c r="AE365" s="2"/>
    </row>
    <row r="366" ht="15.75" customHeight="1">
      <c r="A366" s="2">
        <v>366.0</v>
      </c>
      <c r="B366" s="2" t="s">
        <v>1195</v>
      </c>
      <c r="C366" s="2" t="s">
        <v>1196</v>
      </c>
      <c r="D366" s="2" t="s">
        <v>33</v>
      </c>
      <c r="E366" s="2" t="s">
        <v>64</v>
      </c>
      <c r="F366" s="3" t="s">
        <v>35</v>
      </c>
      <c r="G366" s="2"/>
      <c r="H366" s="2" t="s">
        <v>64</v>
      </c>
      <c r="I366" s="2" t="s">
        <v>36</v>
      </c>
      <c r="J366" s="2" t="s">
        <v>1197</v>
      </c>
      <c r="K366" s="4" t="str">
        <f>HYPERLINK("https://openlibrary.org/works/OL44378241W","Abrir enlace")</f>
        <v>Abrir enlace</v>
      </c>
      <c r="L366" s="2" t="s">
        <v>1198</v>
      </c>
      <c r="M366" s="2"/>
      <c r="N366" s="2" t="s">
        <v>45</v>
      </c>
      <c r="O366" s="2"/>
      <c r="P366" s="4" t="str">
        <f>HYPERLINK("https://openlibrary.org/works/OL44378241W","Abrir enlace")</f>
        <v>Abrir enlace</v>
      </c>
      <c r="Q366" s="2"/>
      <c r="R366" s="2"/>
      <c r="S366" s="2"/>
      <c r="T366" s="2"/>
      <c r="U366" s="2"/>
      <c r="V366" s="2"/>
      <c r="W366" s="2"/>
      <c r="X366" s="2"/>
      <c r="Y366" s="2"/>
      <c r="Z366" s="2"/>
      <c r="AA366" s="2" t="s">
        <v>40</v>
      </c>
      <c r="AB366" s="2" t="s">
        <v>1199</v>
      </c>
      <c r="AC366" s="2"/>
      <c r="AD366" s="2"/>
      <c r="AE366" s="2"/>
    </row>
    <row r="367" ht="15.75" customHeight="1">
      <c r="A367" s="2">
        <v>367.0</v>
      </c>
      <c r="B367" s="2" t="s">
        <v>1200</v>
      </c>
      <c r="C367" s="2" t="s">
        <v>1201</v>
      </c>
      <c r="D367" s="2" t="s">
        <v>33</v>
      </c>
      <c r="E367" s="2" t="s">
        <v>64</v>
      </c>
      <c r="F367" s="2" t="s">
        <v>35</v>
      </c>
      <c r="G367" s="2"/>
      <c r="H367" s="2" t="s">
        <v>64</v>
      </c>
      <c r="I367" s="2" t="s">
        <v>36</v>
      </c>
      <c r="J367" s="2" t="s">
        <v>1202</v>
      </c>
      <c r="K367" s="4" t="str">
        <f>HYPERLINK("https://archive.org/details/bub_gb_8ksrAteN85YC","Abrir enlace")</f>
        <v>Abrir enlace</v>
      </c>
      <c r="L367" s="2" t="s">
        <v>1203</v>
      </c>
      <c r="M367" s="2"/>
      <c r="N367" s="2" t="s">
        <v>91</v>
      </c>
      <c r="O367" s="2" t="s">
        <v>1204</v>
      </c>
      <c r="P367" s="4" t="str">
        <f>HYPERLINK("https://archive.org/details/bub_gb_8ksrAteN85YC","Abrir enlace")</f>
        <v>Abrir enlace</v>
      </c>
      <c r="Q367" s="2" t="s">
        <v>1205</v>
      </c>
      <c r="R367" s="2"/>
      <c r="S367" s="2" t="s">
        <v>91</v>
      </c>
      <c r="T367" s="2" t="s">
        <v>1206</v>
      </c>
      <c r="U367" s="4" t="str">
        <f>HYPERLINK("https://books.google.com/books/about/Nouvelle_methode_pour_apprendre_la_langu.html?id=ZDdGAAAAcAAJ","Abrir enlace")</f>
        <v>Abrir enlace</v>
      </c>
      <c r="V367" s="2" t="s">
        <v>1207</v>
      </c>
      <c r="W367" s="2"/>
      <c r="X367" s="2" t="s">
        <v>91</v>
      </c>
      <c r="Y367" s="2" t="s">
        <v>813</v>
      </c>
      <c r="Z367" s="4" t="str">
        <f>HYPERLINK("https://anemi.lib.uoc.gr/metadata/6/d/f/metadata-472-0000010.tkl","Abrir enlace")</f>
        <v>Abrir enlace</v>
      </c>
      <c r="AA367" s="2"/>
      <c r="AB367" s="2"/>
      <c r="AC367" s="2"/>
      <c r="AD367" s="2"/>
      <c r="AE367" s="2"/>
    </row>
    <row r="368" ht="15.75" customHeight="1">
      <c r="A368" s="2">
        <v>368.0</v>
      </c>
      <c r="B368" s="2" t="s">
        <v>1208</v>
      </c>
      <c r="C368" s="2" t="s">
        <v>1209</v>
      </c>
      <c r="D368" s="2" t="s">
        <v>33</v>
      </c>
      <c r="E368" s="2" t="s">
        <v>70</v>
      </c>
      <c r="F368" s="3" t="s">
        <v>35</v>
      </c>
      <c r="G368" s="2"/>
      <c r="H368" s="2" t="s">
        <v>70</v>
      </c>
      <c r="I368" s="2" t="s">
        <v>36</v>
      </c>
      <c r="J368" s="2" t="s">
        <v>1210</v>
      </c>
      <c r="K368" s="4" t="str">
        <f>HYPERLINK("https://openlibrary.org/works/OL621807W","Abrir enlace")</f>
        <v>Abrir enlace</v>
      </c>
      <c r="L368" s="2" t="s">
        <v>1211</v>
      </c>
      <c r="M368" s="2"/>
      <c r="N368" s="2" t="s">
        <v>45</v>
      </c>
      <c r="O368" s="2"/>
      <c r="P368" s="4" t="str">
        <f>HYPERLINK("https://openlibrary.org/works/OL621807W","Abrir enlace")</f>
        <v>Abrir enlace</v>
      </c>
      <c r="Q368" s="2"/>
      <c r="R368" s="2"/>
      <c r="S368" s="2"/>
      <c r="T368" s="2"/>
      <c r="U368" s="2"/>
      <c r="V368" s="2"/>
      <c r="W368" s="2"/>
      <c r="X368" s="2"/>
      <c r="Y368" s="2"/>
      <c r="Z368" s="2"/>
      <c r="AA368" s="2" t="s">
        <v>51</v>
      </c>
      <c r="AB368" s="2" t="s">
        <v>563</v>
      </c>
      <c r="AC368" s="2"/>
      <c r="AD368" s="2"/>
      <c r="AE368" s="2"/>
    </row>
    <row r="369" ht="15.75" customHeight="1">
      <c r="A369" s="2">
        <v>369.0</v>
      </c>
      <c r="B369" s="2" t="s">
        <v>1212</v>
      </c>
      <c r="C369" s="2" t="s">
        <v>1213</v>
      </c>
      <c r="D369" s="2" t="s">
        <v>99</v>
      </c>
      <c r="E369" s="2" t="s">
        <v>112</v>
      </c>
      <c r="F369" s="2" t="s">
        <v>35</v>
      </c>
      <c r="G369" s="2"/>
      <c r="H369" s="2" t="s">
        <v>112</v>
      </c>
      <c r="I369" s="2" t="s">
        <v>36</v>
      </c>
      <c r="J369" s="2" t="s">
        <v>1214</v>
      </c>
      <c r="K369" s="4" t="str">
        <f>HYPERLINK("https://kingsridgecofc.org/pdf/sermon-de-san-felipe-de-jesus-predicado-el-dia-5-de-febrero-del-ano-de-1781-en-que-se-estreno-el-nuevo-oficio-y-misa-concedidos-al-glorioso-santo-por"&amp;"-la-silla-apostolica-por-el-rpd-joseph-martinez-de-adame-presbitero-de-la-congregacion-del-oratorio-de-san-felipe-neri-de-esta-corte-celebrando-misa-de-pontifical-el-illmo-sr-d-alo"&amp;"nso-nunez-de-haro-y-peralta-del-consejo-de-s-mag-dignisimo-arzobispo-de-esta-metropoli-a-quien-por-manos-de-la-rm-abadesa-sor-maria-rosa-y-demas-religiosas-capuchinas-de-dicho-conv"&amp;"ento-lo-consagra-d-ambrosio-meave-caballero-del-orden-de-santiago-prior-que-fue-del-real-tribunal-del-consulado-y-sindico-actual-del-mismo-convento/","Abrir enlace")</f>
        <v>Abrir enlace</v>
      </c>
      <c r="L369" s="2" t="s">
        <v>1215</v>
      </c>
      <c r="M369" s="2"/>
      <c r="N369" s="2" t="s">
        <v>91</v>
      </c>
      <c r="O369" s="2" t="s">
        <v>1175</v>
      </c>
      <c r="P369" s="4" t="str">
        <f>HYPERLINK("https://kingsridgecofc.org/pdf/sermon-de-san-felipe-de-jesus-predicado-el-dia-5-de-febrero-del-ano-de-1781-en-que-se-estreno-el-nuevo-oficio-y-misa-concedidos-al-glorioso-santo-por"&amp;"-la-silla-apostolica-por-el-rpd-joseph-martinez-de-adame-presbitero-de-la-congregacion-del-oratorio-de-san-felipe-neri-de-esta-corte-celebrando-misa-de-pontifical-el-illmo-sr-d-alo"&amp;"nso-nunez-de-haro-y-peralta-del-consejo-de-s-mag-dignisimo-arzobispo-de-esta-metropoli-a-quien-por-manos-de-la-rm-abadesa-sor-maria-rosa-y-demas-religiosas-capuchinas-de-dicho-conv"&amp;"ento-lo-consagra-d-ambrosio-meave-caballero-del-orden-de-santiago-prior-que-fue-del-real-tribunal-del-consulado-y-sindico-actual-del-mismo-convento/","Abrir enlace")</f>
        <v>Abrir enlace</v>
      </c>
      <c r="Q369" s="2" t="s">
        <v>1216</v>
      </c>
      <c r="R369" s="2"/>
      <c r="S369" s="2" t="s">
        <v>91</v>
      </c>
      <c r="T369" s="2" t="s">
        <v>705</v>
      </c>
      <c r="U369" s="4" t="str">
        <f>HYPERLINK("https://kingsridgecofc.org/pdf/sermon-que-en-la-festividad-del-glorioso-martyr-mexicano-san-felipe-de-jesus-celebrada-en-la-santa-iglesia-catedral-de-esta-corte-de-mexico-el-dia-5-"&amp;"de-febrero-de-1782/","Abrir enlace")</f>
        <v>Abrir enlace</v>
      </c>
      <c r="V369" s="2" t="s">
        <v>1217</v>
      </c>
      <c r="W369" s="2"/>
      <c r="X369" s="2" t="s">
        <v>91</v>
      </c>
      <c r="Y369" s="2" t="s">
        <v>954</v>
      </c>
      <c r="Z369" s="4" t="str">
        <f>HYPERLINK("https://www.instagram.com/p/C2-Z-mxvSsh/","Abrir enlace")</f>
        <v>Abrir enlace</v>
      </c>
      <c r="AA369" s="2"/>
      <c r="AB369" s="2"/>
      <c r="AC369" s="2"/>
      <c r="AD369" s="2"/>
      <c r="AE369" s="2"/>
    </row>
    <row r="370" ht="15.75" customHeight="1">
      <c r="A370" s="2">
        <v>370.0</v>
      </c>
      <c r="B370" s="2" t="s">
        <v>1218</v>
      </c>
      <c r="C370" s="2"/>
      <c r="D370" s="2" t="s">
        <v>49</v>
      </c>
      <c r="E370" s="2" t="s">
        <v>64</v>
      </c>
      <c r="F370" s="2" t="s">
        <v>35</v>
      </c>
      <c r="G370" s="2"/>
      <c r="H370" s="2" t="s">
        <v>64</v>
      </c>
      <c r="I370" s="2" t="s">
        <v>36</v>
      </c>
      <c r="J370" s="2" t="s">
        <v>1106</v>
      </c>
      <c r="K370" s="4" t="str">
        <f>HYPERLINK("https://openlibrary.org/works/OL4821676W","Abrir enlace")</f>
        <v>Abrir enlace</v>
      </c>
      <c r="L370" s="2" t="s">
        <v>1219</v>
      </c>
      <c r="M370" s="2" t="s">
        <v>1220</v>
      </c>
      <c r="N370" s="2" t="s">
        <v>45</v>
      </c>
      <c r="O370" s="2" t="s">
        <v>1221</v>
      </c>
      <c r="P370" s="4" t="str">
        <f>HYPERLINK("https://openlibrary.org/works/OL4821676W","Abrir enlace")</f>
        <v>Abrir enlace</v>
      </c>
      <c r="Q370" s="2" t="s">
        <v>1222</v>
      </c>
      <c r="R370" s="2"/>
      <c r="S370" s="2" t="s">
        <v>91</v>
      </c>
      <c r="T370" s="2" t="s">
        <v>1223</v>
      </c>
      <c r="U370" s="4" t="str">
        <f>HYPERLINK("https://www.cervantesvirtual.com/obra-visor/gramatica-de-la-lengua-castellana-transcripcion--0/html/","Abrir enlace")</f>
        <v>Abrir enlace</v>
      </c>
      <c r="V370" s="2" t="s">
        <v>1224</v>
      </c>
      <c r="W370" s="2" t="s">
        <v>1225</v>
      </c>
      <c r="X370" s="2" t="s">
        <v>45</v>
      </c>
      <c r="Y370" s="2" t="s">
        <v>1226</v>
      </c>
      <c r="Z370" s="4" t="str">
        <f>HYPERLINK("https://openlibrary.org/works/OL4817893W","Abrir enlace")</f>
        <v>Abrir enlace</v>
      </c>
      <c r="AA370" s="2"/>
      <c r="AB370" s="2"/>
      <c r="AC370" s="2"/>
      <c r="AD370" s="2"/>
      <c r="AE370" s="2"/>
    </row>
    <row r="371" ht="15.75" customHeight="1">
      <c r="A371" s="2">
        <v>371.0</v>
      </c>
      <c r="B371" s="2" t="s">
        <v>1227</v>
      </c>
      <c r="C371" s="2"/>
      <c r="D371" s="2" t="s">
        <v>49</v>
      </c>
      <c r="E371" s="2" t="s">
        <v>64</v>
      </c>
      <c r="F371" s="2" t="s">
        <v>35</v>
      </c>
      <c r="G371" s="2"/>
      <c r="H371" s="2" t="s">
        <v>64</v>
      </c>
      <c r="I371" s="2" t="s">
        <v>36</v>
      </c>
      <c r="J371" s="2" t="s">
        <v>1228</v>
      </c>
      <c r="K371" s="4" t="str">
        <f>HYPERLINK("https://grokipedia.com/page/analecta_graeca_minora","Abrir enlace")</f>
        <v>Abrir enlace</v>
      </c>
      <c r="L371" s="2" t="s">
        <v>1229</v>
      </c>
      <c r="M371" s="2"/>
      <c r="N371" s="2" t="s">
        <v>91</v>
      </c>
      <c r="O371" s="2" t="s">
        <v>1230</v>
      </c>
      <c r="P371" s="4" t="str">
        <f>HYPERLINK("https://grokipedia.com/page/analecta_graeca_minora","Abrir enlace")</f>
        <v>Abrir enlace</v>
      </c>
      <c r="Q371" s="2" t="s">
        <v>1231</v>
      </c>
      <c r="R371" s="2" t="s">
        <v>1232</v>
      </c>
      <c r="S371" s="2" t="s">
        <v>45</v>
      </c>
      <c r="T371" s="2" t="s">
        <v>1233</v>
      </c>
      <c r="U371" s="4" t="str">
        <f>HYPERLINK("https://openlibrary.org/works/OL16873392W","Abrir enlace")</f>
        <v>Abrir enlace</v>
      </c>
      <c r="V371" s="2" t="s">
        <v>1234</v>
      </c>
      <c r="W371" s="2"/>
      <c r="X371" s="2" t="s">
        <v>54</v>
      </c>
      <c r="Y371" s="2" t="s">
        <v>1235</v>
      </c>
      <c r="Z371" s="4" t="str">
        <f>HYPERLINK("https://archive.org/details/analectaecclesia09romeuoft","Abrir enlace")</f>
        <v>Abrir enlace</v>
      </c>
      <c r="AA371" s="2"/>
      <c r="AB371" s="2"/>
      <c r="AC371" s="2"/>
      <c r="AD371" s="2"/>
      <c r="AE371" s="2"/>
    </row>
    <row r="372" ht="15.75" customHeight="1">
      <c r="A372" s="2">
        <v>372.0</v>
      </c>
      <c r="B372" s="2" t="s">
        <v>1236</v>
      </c>
      <c r="C372" s="2" t="s">
        <v>1237</v>
      </c>
      <c r="D372" s="2" t="s">
        <v>33</v>
      </c>
      <c r="E372" s="2" t="s">
        <v>64</v>
      </c>
      <c r="F372" s="3" t="s">
        <v>35</v>
      </c>
      <c r="G372" s="2"/>
      <c r="H372" s="2" t="s">
        <v>64</v>
      </c>
      <c r="I372" s="2" t="s">
        <v>36</v>
      </c>
      <c r="J372" s="2" t="s">
        <v>1238</v>
      </c>
      <c r="K372" s="4" t="str">
        <f>HYPERLINK("https://openlibrary.org/works/OL44360703W","Abrir enlace")</f>
        <v>Abrir enlace</v>
      </c>
      <c r="L372" s="2" t="s">
        <v>1239</v>
      </c>
      <c r="M372" s="2"/>
      <c r="N372" s="2" t="s">
        <v>45</v>
      </c>
      <c r="O372" s="2"/>
      <c r="P372" s="4" t="str">
        <f>HYPERLINK("https://openlibrary.org/works/OL44360703W","Abrir enlace")</f>
        <v>Abrir enlace</v>
      </c>
      <c r="Q372" s="2"/>
      <c r="R372" s="2"/>
      <c r="S372" s="2"/>
      <c r="T372" s="2"/>
      <c r="U372" s="2"/>
      <c r="V372" s="2"/>
      <c r="W372" s="2"/>
      <c r="X372" s="2"/>
      <c r="Y372" s="2"/>
      <c r="Z372" s="2"/>
      <c r="AA372" s="2" t="s">
        <v>46</v>
      </c>
      <c r="AB372" s="2" t="s">
        <v>558</v>
      </c>
      <c r="AC372" s="2"/>
      <c r="AD372" s="2"/>
      <c r="AE372" s="2"/>
    </row>
    <row r="373" ht="15.75" customHeight="1">
      <c r="A373" s="2">
        <v>373.0</v>
      </c>
      <c r="B373" s="2" t="s">
        <v>1240</v>
      </c>
      <c r="C373" s="2" t="s">
        <v>1241</v>
      </c>
      <c r="D373" s="2" t="s">
        <v>33</v>
      </c>
      <c r="E373" s="2" t="s">
        <v>70</v>
      </c>
      <c r="F373" s="2" t="s">
        <v>35</v>
      </c>
      <c r="G373" s="2"/>
      <c r="H373" s="2" t="s">
        <v>70</v>
      </c>
      <c r="I373" s="2" t="s">
        <v>36</v>
      </c>
      <c r="J373" s="2" t="s">
        <v>1242</v>
      </c>
      <c r="K373" s="4" t="str">
        <f>HYPERLINK("https://books.google.com/books/about/Aritmética_práctica_y_especulativa_del.html?id=3o4ilP3Z4A8C","Abrir enlace")</f>
        <v>Abrir enlace</v>
      </c>
      <c r="L373" s="2" t="s">
        <v>1243</v>
      </c>
      <c r="M373" s="2"/>
      <c r="N373" s="2" t="s">
        <v>91</v>
      </c>
      <c r="O373" s="2" t="s">
        <v>92</v>
      </c>
      <c r="P373" s="4" t="str">
        <f>HYPERLINK("https://books.google.com/books/about/Aritmética_práctica_y_especulativa_del.html?id=3o4ilP3Z4A8C","Abrir enlace")</f>
        <v>Abrir enlace</v>
      </c>
      <c r="Q373" s="2" t="s">
        <v>1244</v>
      </c>
      <c r="R373" s="2"/>
      <c r="S373" s="2" t="s">
        <v>91</v>
      </c>
      <c r="T373" s="2" t="s">
        <v>1245</v>
      </c>
      <c r="U373" s="4" t="str">
        <f>HYPERLINK("https://books.google.com/books/about/Aritmetica_practica_y_especulativa.html?id=b5OrycYOCvcC","Abrir enlace")</f>
        <v>Abrir enlace</v>
      </c>
      <c r="V373" s="2" t="s">
        <v>1246</v>
      </c>
      <c r="W373" s="2"/>
      <c r="X373" s="2" t="s">
        <v>91</v>
      </c>
      <c r="Y373" s="2" t="s">
        <v>1247</v>
      </c>
      <c r="Z373" s="4" t="str">
        <f>HYPERLINK("https://books.google.com/books/about/Arithmetica_practica_y_speculatiua_del_b.html?id=4fNQ5h1ggZoC","Abrir enlace")</f>
        <v>Abrir enlace</v>
      </c>
      <c r="AA373" s="2"/>
      <c r="AB373" s="2"/>
      <c r="AC373" s="2"/>
      <c r="AD373" s="2"/>
      <c r="AE373" s="2"/>
    </row>
    <row r="374" ht="15.75" customHeight="1">
      <c r="A374" s="2">
        <v>374.0</v>
      </c>
      <c r="B374" s="2" t="s">
        <v>1248</v>
      </c>
      <c r="C374" s="2" t="s">
        <v>1249</v>
      </c>
      <c r="D374" s="2" t="s">
        <v>49</v>
      </c>
      <c r="E374" s="2" t="s">
        <v>64</v>
      </c>
      <c r="F374" s="2" t="s">
        <v>35</v>
      </c>
      <c r="G374" s="2"/>
      <c r="H374" s="2" t="s">
        <v>64</v>
      </c>
      <c r="I374" s="2" t="s">
        <v>36</v>
      </c>
      <c r="J374" s="2" t="s">
        <v>1250</v>
      </c>
      <c r="K374" s="4" t="str">
        <f>HYPERLINK("https://catalog.hathitrust.org/Record/009318460","Abrir enlace")</f>
        <v>Abrir enlace</v>
      </c>
      <c r="L374" s="2" t="s">
        <v>1251</v>
      </c>
      <c r="M374" s="2"/>
      <c r="N374" s="2" t="s">
        <v>91</v>
      </c>
      <c r="O374" s="2" t="s">
        <v>1252</v>
      </c>
      <c r="P374" s="4" t="str">
        <f>HYPERLINK("https://catalog.hathitrust.org/Record/009318460","Abrir enlace")</f>
        <v>Abrir enlace</v>
      </c>
      <c r="Q374" s="2" t="s">
        <v>1253</v>
      </c>
      <c r="R374" s="2"/>
      <c r="S374" s="2" t="s">
        <v>91</v>
      </c>
      <c r="T374" s="2" t="s">
        <v>1155</v>
      </c>
      <c r="U374" s="4" t="str">
        <f>HYPERLINK("https://www.boulandier.com/producto/los-diez-y-seis-libros-de-las-epistolas-o-cartas-de-marco-tulio-ciceron-vulgarmente-llamadas-familiares-traducidas-de-lengua-latina-en-castellan"&amp;"a-por-el-doctor-pedro-simon-abril-natural-de-alcara/","Abrir enlace")</f>
        <v>Abrir enlace</v>
      </c>
      <c r="V374" s="2" t="s">
        <v>1254</v>
      </c>
      <c r="W374" s="2"/>
      <c r="X374" s="2" t="s">
        <v>91</v>
      </c>
      <c r="Y374" s="2" t="s">
        <v>1255</v>
      </c>
      <c r="Z374" s="4" t="str">
        <f>HYPERLINK("https://bibliotecavirtualmadrid.comunidad.madrid/bvmadrid_publicacion/en/consulta/registro.do?id=90086","Abrir enlace")</f>
        <v>Abrir enlace</v>
      </c>
      <c r="AA374" s="2"/>
      <c r="AB374" s="2"/>
      <c r="AC374" s="2"/>
      <c r="AD374" s="2"/>
      <c r="AE374" s="2"/>
    </row>
    <row r="375" ht="15.75" customHeight="1">
      <c r="A375" s="2">
        <v>375.0</v>
      </c>
      <c r="B375" s="2" t="s">
        <v>1256</v>
      </c>
      <c r="C375" s="2"/>
      <c r="D375" s="2" t="s">
        <v>165</v>
      </c>
      <c r="E375" s="2" t="s">
        <v>64</v>
      </c>
      <c r="F375" s="2" t="s">
        <v>35</v>
      </c>
      <c r="G375" s="2"/>
      <c r="H375" s="2" t="s">
        <v>64</v>
      </c>
      <c r="I375" s="2" t="s">
        <v>168</v>
      </c>
      <c r="J375" s="2" t="s">
        <v>1257</v>
      </c>
      <c r="K375" s="4" t="str">
        <f>HYPERLINK("https://www.beweb.chiesacattolica.it/UI/page.jsp?action=ricerca/risultati&amp;dominio=6&amp;ambito=CEIBIB&amp;advanced=true&amp;view=griglia&amp;locale=fr&amp;liberanomicorrelati=Toscanella,+Orazio+&lt;16.se"&amp;"c.&gt;","Abrir enlace")</f>
        <v>Abrir enlace</v>
      </c>
      <c r="L375" s="2" t="s">
        <v>1258</v>
      </c>
      <c r="M375" s="2"/>
      <c r="N375" s="2" t="s">
        <v>91</v>
      </c>
      <c r="O375" s="2" t="s">
        <v>1259</v>
      </c>
      <c r="P375" s="4" t="str">
        <f>HYPERLINK("https://www.beweb.chiesacattolica.it/UI/page.jsp?action=ricerca/risultati&amp;dominio=6&amp;ambito=CEIBIB&amp;advanced=true&amp;view=griglia&amp;locale=fr&amp;liberanomicorrelati=Toscanella,+Orazio+&lt;16.se"&amp;"c.&gt;","Abrir enlace")</f>
        <v>Abrir enlace</v>
      </c>
      <c r="Q375" s="2" t="s">
        <v>1260</v>
      </c>
      <c r="R375" s="2"/>
      <c r="S375" s="2" t="s">
        <v>91</v>
      </c>
      <c r="T375" s="2" t="s">
        <v>1261</v>
      </c>
      <c r="U375" s="4" t="str">
        <f>HYPERLINK("https://play.google.com/store/books/details/La_retorica_di_M_Tullio_Cicerone_a_Gaio_Herennio_r?id=03p3h7rqHEYC&amp;hl=pa","Abrir enlace")</f>
        <v>Abrir enlace</v>
      </c>
      <c r="V375" s="2" t="s">
        <v>1262</v>
      </c>
      <c r="W375" s="2"/>
      <c r="X375" s="2" t="s">
        <v>91</v>
      </c>
      <c r="Y375" s="2" t="s">
        <v>753</v>
      </c>
      <c r="Z375" s="4" t="str">
        <f>HYPERLINK("https://sol.unibo.it/SebinaOpac/resource/UBO02848997","Abrir enlace")</f>
        <v>Abrir enlace</v>
      </c>
      <c r="AA375" s="2"/>
      <c r="AB375" s="2"/>
      <c r="AC375" s="2"/>
      <c r="AD375" s="2"/>
      <c r="AE375" s="2"/>
    </row>
    <row r="376" ht="15.75" customHeight="1">
      <c r="A376" s="2">
        <v>376.0</v>
      </c>
      <c r="B376" s="2" t="s">
        <v>1263</v>
      </c>
      <c r="C376" s="2" t="s">
        <v>1264</v>
      </c>
      <c r="D376" s="2" t="s">
        <v>33</v>
      </c>
      <c r="E376" s="2" t="s">
        <v>64</v>
      </c>
      <c r="F376" s="3" t="s">
        <v>35</v>
      </c>
      <c r="G376" s="2"/>
      <c r="H376" s="2" t="s">
        <v>64</v>
      </c>
      <c r="I376" s="2" t="s">
        <v>36</v>
      </c>
      <c r="J376" s="2" t="s">
        <v>37</v>
      </c>
      <c r="K376" s="4" t="str">
        <f>HYPERLINK("https://archive.org/details/compendiumlatino00brav","Abrir enlace")</f>
        <v>Abrir enlace</v>
      </c>
      <c r="L376" s="2" t="s">
        <v>1265</v>
      </c>
      <c r="M376" s="2"/>
      <c r="N376" s="2" t="s">
        <v>54</v>
      </c>
      <c r="O376" s="2"/>
      <c r="P376" s="4" t="str">
        <f>HYPERLINK("https://archive.org/details/compendiumlatino00brav","Abrir enlace")</f>
        <v>Abrir enlace</v>
      </c>
      <c r="Q376" s="2"/>
      <c r="R376" s="2"/>
      <c r="S376" s="2"/>
      <c r="T376" s="2"/>
      <c r="U376" s="2"/>
      <c r="V376" s="2"/>
      <c r="W376" s="2"/>
      <c r="X376" s="2"/>
      <c r="Y376" s="2"/>
      <c r="Z376" s="2"/>
      <c r="AA376" s="2" t="s">
        <v>46</v>
      </c>
      <c r="AB376" s="2" t="s">
        <v>67</v>
      </c>
      <c r="AC376" s="2"/>
      <c r="AD376" s="2"/>
      <c r="AE376" s="2"/>
    </row>
    <row r="377" ht="15.75" customHeight="1">
      <c r="A377" s="2">
        <v>377.0</v>
      </c>
      <c r="B377" s="2" t="s">
        <v>1266</v>
      </c>
      <c r="C377" s="2"/>
      <c r="D377" s="2" t="s">
        <v>165</v>
      </c>
      <c r="E377" s="2" t="s">
        <v>64</v>
      </c>
      <c r="F377" s="2" t="s">
        <v>35</v>
      </c>
      <c r="G377" s="2"/>
      <c r="H377" s="2" t="s">
        <v>64</v>
      </c>
      <c r="I377" s="2" t="s">
        <v>36</v>
      </c>
      <c r="J377" s="2" t="s">
        <v>1267</v>
      </c>
      <c r="K377" s="4" t="str">
        <f>HYPERLINK("https://rusneb.ru/catalog/000201_000064_REDKOSTJ25438/","Abrir enlace")</f>
        <v>Abrir enlace</v>
      </c>
      <c r="L377" s="2" t="s">
        <v>1268</v>
      </c>
      <c r="M377" s="2"/>
      <c r="N377" s="2" t="s">
        <v>91</v>
      </c>
      <c r="O377" s="2" t="s">
        <v>1269</v>
      </c>
      <c r="P377" s="4" t="str">
        <f>HYPERLINK("https://rusneb.ru/catalog/000201_000064_REDKOSTJ25438/","Abrir enlace")</f>
        <v>Abrir enlace</v>
      </c>
      <c r="Q377" s="2" t="s">
        <v>1270</v>
      </c>
      <c r="R377" s="2"/>
      <c r="S377" s="2" t="s">
        <v>91</v>
      </c>
      <c r="T377" s="2" t="s">
        <v>1271</v>
      </c>
      <c r="U377" s="4" t="str">
        <f>HYPERLINK("https://context.reverso.net/traduzione/italiano-inglese/raccolta+di+stanze","Abrir enlace")</f>
        <v>Abrir enlace</v>
      </c>
      <c r="V377" s="2" t="s">
        <v>1272</v>
      </c>
      <c r="W377" s="2"/>
      <c r="X377" s="2" t="s">
        <v>91</v>
      </c>
      <c r="Y377" s="2" t="s">
        <v>1273</v>
      </c>
      <c r="Z377" s="4" t="str">
        <f>HYPERLINK("https://cucineditalia.com/15-migliori-hotel-italiani-conde-nast-traveller/","Abrir enlace")</f>
        <v>Abrir enlace</v>
      </c>
      <c r="AA377" s="2"/>
      <c r="AB377" s="2"/>
      <c r="AC377" s="2"/>
      <c r="AD377" s="2"/>
      <c r="AE377" s="2"/>
    </row>
    <row r="378" ht="15.75" customHeight="1">
      <c r="A378" s="2">
        <v>378.0</v>
      </c>
      <c r="B378" s="2" t="s">
        <v>1274</v>
      </c>
      <c r="C378" s="2" t="s">
        <v>1275</v>
      </c>
      <c r="D378" s="2" t="s">
        <v>33</v>
      </c>
      <c r="E378" s="2" t="s">
        <v>64</v>
      </c>
      <c r="F378" s="3" t="s">
        <v>35</v>
      </c>
      <c r="G378" s="2"/>
      <c r="H378" s="2" t="s">
        <v>64</v>
      </c>
      <c r="I378" s="2" t="s">
        <v>36</v>
      </c>
      <c r="J378" s="2" t="s">
        <v>37</v>
      </c>
      <c r="K378" s="4" t="str">
        <f>HYPERLINK("https://archive.org/details/aristaenetiepis00boisgoog","Abrir enlace")</f>
        <v>Abrir enlace</v>
      </c>
      <c r="L378" s="2" t="s">
        <v>1276</v>
      </c>
      <c r="M378" s="2"/>
      <c r="N378" s="2" t="s">
        <v>54</v>
      </c>
      <c r="O378" s="2"/>
      <c r="P378" s="4" t="str">
        <f>HYPERLINK("https://archive.org/details/aristaenetiepis00boisgoog","Abrir enlace")</f>
        <v>Abrir enlace</v>
      </c>
      <c r="Q378" s="2"/>
      <c r="R378" s="2"/>
      <c r="S378" s="2"/>
      <c r="T378" s="2"/>
      <c r="U378" s="2"/>
      <c r="V378" s="2"/>
      <c r="W378" s="2"/>
      <c r="X378" s="2"/>
      <c r="Y378" s="2"/>
      <c r="Z378" s="2"/>
      <c r="AA378" s="2" t="s">
        <v>46</v>
      </c>
      <c r="AB378" s="2" t="s">
        <v>67</v>
      </c>
      <c r="AC378" s="2"/>
      <c r="AD378" s="2"/>
      <c r="AE378" s="2"/>
    </row>
    <row r="379" ht="15.75" customHeight="1">
      <c r="A379" s="2">
        <v>379.0</v>
      </c>
      <c r="B379" s="2" t="s">
        <v>1277</v>
      </c>
      <c r="C379" s="2" t="s">
        <v>1278</v>
      </c>
      <c r="D379" s="2" t="s">
        <v>33</v>
      </c>
      <c r="E379" s="2" t="s">
        <v>64</v>
      </c>
      <c r="F379" s="3" t="s">
        <v>35</v>
      </c>
      <c r="G379" s="2"/>
      <c r="H379" s="2" t="s">
        <v>64</v>
      </c>
      <c r="I379" s="2" t="s">
        <v>36</v>
      </c>
      <c r="J379" s="2" t="s">
        <v>1279</v>
      </c>
      <c r="K379" s="4" t="str">
        <f>HYPERLINK("https://openlibrary.org/works/OL1172803W","Abrir enlace")</f>
        <v>Abrir enlace</v>
      </c>
      <c r="L379" s="2" t="s">
        <v>1280</v>
      </c>
      <c r="M379" s="2"/>
      <c r="N379" s="2" t="s">
        <v>45</v>
      </c>
      <c r="O379" s="2"/>
      <c r="P379" s="4" t="str">
        <f>HYPERLINK("https://openlibrary.org/works/OL1172803W","Abrir enlace")</f>
        <v>Abrir enlace</v>
      </c>
      <c r="Q379" s="2"/>
      <c r="R379" s="2"/>
      <c r="S379" s="2"/>
      <c r="T379" s="2"/>
      <c r="U379" s="2"/>
      <c r="V379" s="2"/>
      <c r="W379" s="2"/>
      <c r="X379" s="2"/>
      <c r="Y379" s="2"/>
      <c r="Z379" s="2"/>
      <c r="AA379" s="2" t="s">
        <v>60</v>
      </c>
      <c r="AB379" s="2" t="s">
        <v>1103</v>
      </c>
      <c r="AC379" s="2"/>
      <c r="AD379" s="2"/>
      <c r="AE379" s="2"/>
    </row>
    <row r="380" ht="15.75" customHeight="1">
      <c r="A380" s="2">
        <v>380.0</v>
      </c>
      <c r="B380" s="2" t="s">
        <v>1281</v>
      </c>
      <c r="C380" s="2" t="s">
        <v>1282</v>
      </c>
      <c r="D380" s="2" t="s">
        <v>49</v>
      </c>
      <c r="E380" s="2" t="s">
        <v>64</v>
      </c>
      <c r="F380" s="2" t="s">
        <v>35</v>
      </c>
      <c r="G380" s="2"/>
      <c r="H380" s="2" t="s">
        <v>64</v>
      </c>
      <c r="I380" s="2" t="s">
        <v>36</v>
      </c>
      <c r="J380" s="2" t="s">
        <v>1283</v>
      </c>
      <c r="K380" s="4" t="str">
        <f>HYPERLINK("https://biblioteca.galiciana.gal/gl/consulta/registro.do?id=502071","Abrir enlace")</f>
        <v>Abrir enlace</v>
      </c>
      <c r="L380" s="2" t="s">
        <v>1284</v>
      </c>
      <c r="M380" s="2"/>
      <c r="N380" s="2" t="s">
        <v>91</v>
      </c>
      <c r="O380" s="2" t="s">
        <v>1285</v>
      </c>
      <c r="P380" s="4" t="str">
        <f>HYPERLINK("https://biblioteca.galiciana.gal/gl/consulta/registro.do?id=502071","Abrir enlace")</f>
        <v>Abrir enlace</v>
      </c>
      <c r="Q380" s="2" t="s">
        <v>1286</v>
      </c>
      <c r="R380" s="2"/>
      <c r="S380" s="2" t="s">
        <v>91</v>
      </c>
      <c r="T380" s="2" t="s">
        <v>1287</v>
      </c>
      <c r="U380" s="4" t="str">
        <f>HYPERLINK("https://archive.org/details/ioannis-ludovici-vivis-dialogistica-ling","Abrir enlace")</f>
        <v>Abrir enlace</v>
      </c>
      <c r="V380" s="2" t="s">
        <v>1288</v>
      </c>
      <c r="W380" s="2"/>
      <c r="X380" s="2" t="s">
        <v>91</v>
      </c>
      <c r="Y380" s="2" t="s">
        <v>1289</v>
      </c>
      <c r="Z380" s="4" t="str">
        <f>HYPERLINK("https://www.cervantesvirtual.com/obra/ioannis-ludovici-vivis-valentini-dialogisti-linguae-latinae-exercitatio/","Abrir enlace")</f>
        <v>Abrir enlace</v>
      </c>
      <c r="AA380" s="2"/>
      <c r="AB380" s="2"/>
      <c r="AC380" s="2"/>
      <c r="AD380" s="2"/>
      <c r="AE380" s="2"/>
    </row>
    <row r="381" ht="15.75" customHeight="1">
      <c r="A381" s="2">
        <v>381.0</v>
      </c>
      <c r="B381" s="2" t="s">
        <v>1290</v>
      </c>
      <c r="C381" s="2" t="s">
        <v>1291</v>
      </c>
      <c r="D381" s="2" t="s">
        <v>33</v>
      </c>
      <c r="E381" s="2" t="s">
        <v>64</v>
      </c>
      <c r="F381" s="3" t="s">
        <v>35</v>
      </c>
      <c r="G381" s="2"/>
      <c r="H381" s="2" t="s">
        <v>64</v>
      </c>
      <c r="I381" s="2" t="s">
        <v>36</v>
      </c>
      <c r="J381" s="2" t="s">
        <v>1292</v>
      </c>
      <c r="K381" s="4" t="str">
        <f>HYPERLINK("https://openlibrary.org/works/OL6776882W","Abrir enlace")</f>
        <v>Abrir enlace</v>
      </c>
      <c r="L381" s="2" t="s">
        <v>1290</v>
      </c>
      <c r="M381" s="2"/>
      <c r="N381" s="2" t="s">
        <v>45</v>
      </c>
      <c r="O381" s="2"/>
      <c r="P381" s="4" t="str">
        <f>HYPERLINK("https://openlibrary.org/works/OL6776882W","Abrir enlace")</f>
        <v>Abrir enlace</v>
      </c>
      <c r="Q381" s="2"/>
      <c r="R381" s="2"/>
      <c r="S381" s="2"/>
      <c r="T381" s="2"/>
      <c r="U381" s="2"/>
      <c r="V381" s="2"/>
      <c r="W381" s="2"/>
      <c r="X381" s="2"/>
      <c r="Y381" s="2"/>
      <c r="Z381" s="2"/>
      <c r="AA381" s="2" t="s">
        <v>60</v>
      </c>
      <c r="AB381" s="2" t="s">
        <v>1293</v>
      </c>
      <c r="AC381" s="2"/>
      <c r="AD381" s="2"/>
      <c r="AE381" s="2"/>
    </row>
    <row r="382" ht="15.75" customHeight="1">
      <c r="A382" s="2">
        <v>382.0</v>
      </c>
      <c r="B382" s="2" t="s">
        <v>1294</v>
      </c>
      <c r="C382" s="2" t="s">
        <v>144</v>
      </c>
      <c r="D382" s="2" t="s">
        <v>49</v>
      </c>
      <c r="E382" s="2" t="s">
        <v>64</v>
      </c>
      <c r="F382" s="3" t="s">
        <v>35</v>
      </c>
      <c r="G382" s="2"/>
      <c r="H382" s="2" t="s">
        <v>64</v>
      </c>
      <c r="I382" s="2" t="s">
        <v>36</v>
      </c>
      <c r="J382" s="2" t="s">
        <v>37</v>
      </c>
      <c r="K382" s="4" t="str">
        <f>HYPERLINK("https://openlibrary.org/works/OL47151W","Abrir enlace")</f>
        <v>Abrir enlace</v>
      </c>
      <c r="L382" s="2" t="s">
        <v>1295</v>
      </c>
      <c r="M382" s="2"/>
      <c r="N382" s="2" t="s">
        <v>45</v>
      </c>
      <c r="O382" s="2"/>
      <c r="P382" s="4" t="str">
        <f>HYPERLINK("https://openlibrary.org/works/OL47151W","Abrir enlace")</f>
        <v>Abrir enlace</v>
      </c>
      <c r="Q382" s="2"/>
      <c r="R382" s="2"/>
      <c r="S382" s="2"/>
      <c r="T382" s="2"/>
      <c r="U382" s="2"/>
      <c r="V382" s="2"/>
      <c r="W382" s="2"/>
      <c r="X382" s="2"/>
      <c r="Y382" s="2"/>
      <c r="Z382" s="2"/>
      <c r="AA382" s="2" t="s">
        <v>46</v>
      </c>
      <c r="AB382" s="2" t="s">
        <v>67</v>
      </c>
      <c r="AC382" s="2"/>
      <c r="AD382" s="2"/>
      <c r="AE382" s="2"/>
    </row>
    <row r="383" ht="15.75" customHeight="1">
      <c r="A383" s="2">
        <v>383.0</v>
      </c>
      <c r="B383" s="2" t="s">
        <v>1296</v>
      </c>
      <c r="C383" s="2"/>
      <c r="D383" s="2" t="s">
        <v>99</v>
      </c>
      <c r="E383" s="2" t="s">
        <v>1297</v>
      </c>
      <c r="F383" s="2" t="s">
        <v>1297</v>
      </c>
      <c r="G383" s="2"/>
      <c r="H383" s="2" t="s">
        <v>64</v>
      </c>
      <c r="I383" s="2" t="s">
        <v>189</v>
      </c>
      <c r="J383" s="2" t="s">
        <v>1298</v>
      </c>
      <c r="K383" s="4" t="str">
        <f>HYPERLINK("https://www.cantinebertoldi.it/en/Fior+di+Vite.html","Abrir enlace")</f>
        <v>Abrir enlace</v>
      </c>
      <c r="L383" s="2" t="s">
        <v>1299</v>
      </c>
      <c r="M383" s="2"/>
      <c r="N383" s="2" t="s">
        <v>91</v>
      </c>
      <c r="O383" s="2" t="s">
        <v>1300</v>
      </c>
      <c r="P383" s="4" t="str">
        <f>HYPERLINK("https://www.cantinebertoldi.it/en/Fior+di+Vite.html","Abrir enlace")</f>
        <v>Abrir enlace</v>
      </c>
      <c r="Q383" s="2" t="s">
        <v>1301</v>
      </c>
      <c r="R383" s="2"/>
      <c r="S383" s="2" t="s">
        <v>91</v>
      </c>
      <c r="T383" s="2" t="s">
        <v>1302</v>
      </c>
      <c r="U383" s="4" t="str">
        <f>HYPERLINK("https://tinbeer.it/prodotti/altro/liquori/grappa/fior-di-vite/","Abrir enlace")</f>
        <v>Abrir enlace</v>
      </c>
      <c r="V383" s="2" t="s">
        <v>1303</v>
      </c>
      <c r="W383" s="2"/>
      <c r="X383" s="2" t="s">
        <v>91</v>
      </c>
      <c r="Y383" s="2" t="s">
        <v>1304</v>
      </c>
      <c r="Z383" s="4" t="str">
        <f>HYPERLINK("https://www.grappa.com/en/grappateca/fior-di-vite","Abrir enlace")</f>
        <v>Abrir enlace</v>
      </c>
      <c r="AA383" s="2"/>
      <c r="AB383" s="2"/>
      <c r="AC383" s="2"/>
      <c r="AD383" s="2"/>
      <c r="AE383" s="2"/>
    </row>
    <row r="384" ht="15.75" customHeight="1">
      <c r="A384" s="2">
        <v>384.0</v>
      </c>
      <c r="B384" s="2" t="s">
        <v>1305</v>
      </c>
      <c r="C384" s="2"/>
      <c r="D384" s="2" t="s">
        <v>165</v>
      </c>
      <c r="E384" s="2" t="s">
        <v>64</v>
      </c>
      <c r="F384" s="3" t="s">
        <v>35</v>
      </c>
      <c r="G384" s="2"/>
      <c r="H384" s="2" t="s">
        <v>64</v>
      </c>
      <c r="I384" s="2" t="s">
        <v>36</v>
      </c>
      <c r="J384" s="2" t="s">
        <v>1306</v>
      </c>
      <c r="K384" s="4" t="str">
        <f>HYPERLINK("https://archive.org/details/bub_gb_vwIvQWizsywC","Abrir enlace")</f>
        <v>Abrir enlace</v>
      </c>
      <c r="L384" s="2" t="s">
        <v>1305</v>
      </c>
      <c r="M384" s="2"/>
      <c r="N384" s="2" t="s">
        <v>54</v>
      </c>
      <c r="O384" s="2"/>
      <c r="P384" s="4" t="str">
        <f>HYPERLINK("https://archive.org/details/bub_gb_vwIvQWizsywC","Abrir enlace")</f>
        <v>Abrir enlace</v>
      </c>
      <c r="Q384" s="2"/>
      <c r="R384" s="2"/>
      <c r="S384" s="2"/>
      <c r="T384" s="2"/>
      <c r="U384" s="2"/>
      <c r="V384" s="2"/>
      <c r="W384" s="2"/>
      <c r="X384" s="2"/>
      <c r="Y384" s="2"/>
      <c r="Z384" s="2"/>
      <c r="AA384" s="2" t="s">
        <v>46</v>
      </c>
      <c r="AB384" s="2" t="s">
        <v>258</v>
      </c>
      <c r="AC384" s="2"/>
      <c r="AD384" s="2"/>
      <c r="AE384" s="2"/>
    </row>
    <row r="385" ht="15.75" customHeight="1">
      <c r="A385" s="2">
        <v>385.0</v>
      </c>
      <c r="B385" s="2" t="s">
        <v>1307</v>
      </c>
      <c r="C385" s="2" t="s">
        <v>1308</v>
      </c>
      <c r="D385" s="2" t="s">
        <v>33</v>
      </c>
      <c r="E385" s="2" t="s">
        <v>112</v>
      </c>
      <c r="F385" s="2" t="s">
        <v>35</v>
      </c>
      <c r="G385" s="2"/>
      <c r="H385" s="2" t="s">
        <v>112</v>
      </c>
      <c r="I385" s="2" t="s">
        <v>168</v>
      </c>
      <c r="J385" s="2" t="s">
        <v>1309</v>
      </c>
      <c r="K385" s="4" t="str">
        <f>HYPERLINK("https://www.beweb.chiesacattolica.it/livres/livre/10000000000001428301/Trattato+della+situazione+del+paradiso+terrestre+ai+signori+dell'Accademia+francese+opera+di+monsignor+Pietro"&amp;"+Daniello+Uezio,+vescovo+di+Avranches,+dell'Accademia+francese,+tradotta+dalla+lingua+francese","Abrir enlace")</f>
        <v>Abrir enlace</v>
      </c>
      <c r="L385" s="2" t="s">
        <v>1310</v>
      </c>
      <c r="M385" s="2"/>
      <c r="N385" s="2" t="s">
        <v>91</v>
      </c>
      <c r="O385" s="2" t="s">
        <v>1311</v>
      </c>
      <c r="P385" s="4" t="str">
        <f>HYPERLINK("https://www.beweb.chiesacattolica.it/livres/livre/10000000000001428301/Trattato+della+situazione+del+paradiso+terrestre+ai+signori+dell'Accademia+francese+opera+di+monsignor+Pietro"&amp;"+Daniello+Uezio,+vescovo+di+Avranches,+dell'Accademia+francese,+tradotta+dalla+lingua+francese","Abrir enlace")</f>
        <v>Abrir enlace</v>
      </c>
      <c r="Q385" s="2" t="s">
        <v>1312</v>
      </c>
      <c r="R385" s="2"/>
      <c r="S385" s="2" t="s">
        <v>91</v>
      </c>
      <c r="T385" s="2" t="s">
        <v>1313</v>
      </c>
      <c r="U385" s="4" t="str">
        <f>HYPERLINK("https://castroesilva.com/store/sku/1405JC061/trattato-della-situazione-del-paradiso-terrestre","Abrir enlace")</f>
        <v>Abrir enlace</v>
      </c>
      <c r="V385" s="2" t="s">
        <v>1314</v>
      </c>
      <c r="W385" s="2"/>
      <c r="X385" s="2" t="s">
        <v>91</v>
      </c>
      <c r="Y385" s="2" t="s">
        <v>1315</v>
      </c>
      <c r="Z385" s="4" t="str">
        <f>HYPERLINK("https://binp.regione.veneto.it/SebinaOpac/resource/VIA00424973","Abrir enlace")</f>
        <v>Abrir enlace</v>
      </c>
      <c r="AA385" s="2"/>
      <c r="AB385" s="2"/>
      <c r="AC385" s="2"/>
      <c r="AD385" s="2"/>
      <c r="AE385" s="2"/>
    </row>
    <row r="386" ht="15.75" customHeight="1">
      <c r="A386" s="2">
        <v>386.0</v>
      </c>
      <c r="B386" s="2" t="s">
        <v>1316</v>
      </c>
      <c r="C386" s="2" t="s">
        <v>1317</v>
      </c>
      <c r="D386" s="2" t="s">
        <v>49</v>
      </c>
      <c r="E386" s="2" t="s">
        <v>64</v>
      </c>
      <c r="F386" s="3" t="s">
        <v>35</v>
      </c>
      <c r="G386" s="2"/>
      <c r="H386" s="2" t="s">
        <v>64</v>
      </c>
      <c r="I386" s="2" t="s">
        <v>36</v>
      </c>
      <c r="J386" s="2" t="s">
        <v>1318</v>
      </c>
      <c r="K386" s="4" t="str">
        <f>HYPERLINK("https://openlibrary.org/works/OL3892498W","Abrir enlace")</f>
        <v>Abrir enlace</v>
      </c>
      <c r="L386" s="2" t="s">
        <v>1319</v>
      </c>
      <c r="M386" s="2"/>
      <c r="N386" s="2" t="s">
        <v>45</v>
      </c>
      <c r="O386" s="2"/>
      <c r="P386" s="4" t="str">
        <f>HYPERLINK("https://openlibrary.org/works/OL3892498W","Abrir enlace")</f>
        <v>Abrir enlace</v>
      </c>
      <c r="Q386" s="2"/>
      <c r="R386" s="2"/>
      <c r="S386" s="2"/>
      <c r="T386" s="2"/>
      <c r="U386" s="2"/>
      <c r="V386" s="2"/>
      <c r="W386" s="2"/>
      <c r="X386" s="2"/>
      <c r="Y386" s="2"/>
      <c r="Z386" s="2"/>
      <c r="AA386" s="2" t="s">
        <v>51</v>
      </c>
      <c r="AB386" s="2" t="s">
        <v>1320</v>
      </c>
      <c r="AC386" s="2"/>
      <c r="AD386" s="2"/>
      <c r="AE386" s="2"/>
    </row>
    <row r="387" ht="15.75" customHeight="1">
      <c r="A387" s="2">
        <v>387.0</v>
      </c>
      <c r="B387" s="2" t="s">
        <v>1321</v>
      </c>
      <c r="C387" s="2" t="s">
        <v>1322</v>
      </c>
      <c r="D387" s="2" t="s">
        <v>33</v>
      </c>
      <c r="E387" s="2" t="s">
        <v>112</v>
      </c>
      <c r="F387" s="3" t="s">
        <v>35</v>
      </c>
      <c r="G387" s="2"/>
      <c r="H387" s="2" t="s">
        <v>112</v>
      </c>
      <c r="I387" s="2" t="s">
        <v>36</v>
      </c>
      <c r="J387" s="2" t="s">
        <v>1323</v>
      </c>
      <c r="K387" s="4" t="str">
        <f t="shared" ref="K387:K395" si="37">HYPERLINK("https://openlibrary.org/works/OL27772538W","Abrir enlace")</f>
        <v>Abrir enlace</v>
      </c>
      <c r="L387" s="2" t="s">
        <v>1324</v>
      </c>
      <c r="M387" s="2"/>
      <c r="N387" s="2" t="s">
        <v>45</v>
      </c>
      <c r="O387" s="2"/>
      <c r="P387" s="4" t="str">
        <f t="shared" ref="P387:P395" si="38">HYPERLINK("https://openlibrary.org/works/OL27772538W","Abrir enlace")</f>
        <v>Abrir enlace</v>
      </c>
      <c r="Q387" s="2"/>
      <c r="R387" s="2"/>
      <c r="S387" s="2"/>
      <c r="T387" s="2"/>
      <c r="U387" s="2"/>
      <c r="V387" s="2"/>
      <c r="W387" s="2"/>
      <c r="X387" s="2"/>
      <c r="Y387" s="2"/>
      <c r="Z387" s="2"/>
      <c r="AA387" s="2" t="s">
        <v>40</v>
      </c>
      <c r="AB387" s="2" t="s">
        <v>1325</v>
      </c>
      <c r="AC387" s="2"/>
      <c r="AD387" s="2"/>
      <c r="AE387" s="2"/>
    </row>
    <row r="388" ht="15.75" customHeight="1">
      <c r="A388" s="2">
        <v>388.0</v>
      </c>
      <c r="B388" s="2" t="s">
        <v>1321</v>
      </c>
      <c r="C388" s="2" t="s">
        <v>1322</v>
      </c>
      <c r="D388" s="2" t="s">
        <v>33</v>
      </c>
      <c r="E388" s="2" t="s">
        <v>112</v>
      </c>
      <c r="F388" s="3" t="s">
        <v>35</v>
      </c>
      <c r="G388" s="2"/>
      <c r="H388" s="2" t="s">
        <v>112</v>
      </c>
      <c r="I388" s="2" t="s">
        <v>36</v>
      </c>
      <c r="J388" s="2" t="s">
        <v>37</v>
      </c>
      <c r="K388" s="4" t="str">
        <f t="shared" si="37"/>
        <v>Abrir enlace</v>
      </c>
      <c r="L388" s="2" t="s">
        <v>1324</v>
      </c>
      <c r="M388" s="2"/>
      <c r="N388" s="2" t="s">
        <v>45</v>
      </c>
      <c r="O388" s="2"/>
      <c r="P388" s="4" t="str">
        <f t="shared" si="38"/>
        <v>Abrir enlace</v>
      </c>
      <c r="Q388" s="2"/>
      <c r="R388" s="2"/>
      <c r="S388" s="2"/>
      <c r="T388" s="2"/>
      <c r="U388" s="2"/>
      <c r="V388" s="2"/>
      <c r="W388" s="2"/>
      <c r="X388" s="2"/>
      <c r="Y388" s="2"/>
      <c r="Z388" s="2"/>
      <c r="AA388" s="2" t="s">
        <v>40</v>
      </c>
      <c r="AB388" s="2" t="s">
        <v>67</v>
      </c>
      <c r="AC388" s="2"/>
      <c r="AD388" s="2"/>
      <c r="AE388" s="2"/>
    </row>
    <row r="389" ht="15.75" customHeight="1">
      <c r="A389" s="2">
        <v>389.0</v>
      </c>
      <c r="B389" s="2" t="s">
        <v>1321</v>
      </c>
      <c r="C389" s="2" t="s">
        <v>1322</v>
      </c>
      <c r="D389" s="2" t="s">
        <v>33</v>
      </c>
      <c r="E389" s="2" t="s">
        <v>112</v>
      </c>
      <c r="F389" s="3" t="s">
        <v>35</v>
      </c>
      <c r="G389" s="2"/>
      <c r="H389" s="2" t="s">
        <v>112</v>
      </c>
      <c r="I389" s="2" t="s">
        <v>36</v>
      </c>
      <c r="J389" s="2" t="s">
        <v>37</v>
      </c>
      <c r="K389" s="4" t="str">
        <f t="shared" si="37"/>
        <v>Abrir enlace</v>
      </c>
      <c r="L389" s="2" t="s">
        <v>1324</v>
      </c>
      <c r="M389" s="2"/>
      <c r="N389" s="2" t="s">
        <v>45</v>
      </c>
      <c r="O389" s="2"/>
      <c r="P389" s="4" t="str">
        <f t="shared" si="38"/>
        <v>Abrir enlace</v>
      </c>
      <c r="Q389" s="2"/>
      <c r="R389" s="2"/>
      <c r="S389" s="2"/>
      <c r="T389" s="2"/>
      <c r="U389" s="2"/>
      <c r="V389" s="2"/>
      <c r="W389" s="2"/>
      <c r="X389" s="2"/>
      <c r="Y389" s="2"/>
      <c r="Z389" s="2"/>
      <c r="AA389" s="2" t="s">
        <v>40</v>
      </c>
      <c r="AB389" s="2" t="s">
        <v>67</v>
      </c>
      <c r="AC389" s="2"/>
      <c r="AD389" s="2"/>
      <c r="AE389" s="2"/>
    </row>
    <row r="390" ht="15.75" customHeight="1">
      <c r="A390" s="2">
        <v>390.0</v>
      </c>
      <c r="B390" s="2" t="s">
        <v>1321</v>
      </c>
      <c r="C390" s="2" t="s">
        <v>1322</v>
      </c>
      <c r="D390" s="2" t="s">
        <v>33</v>
      </c>
      <c r="E390" s="2" t="s">
        <v>112</v>
      </c>
      <c r="F390" s="3" t="s">
        <v>35</v>
      </c>
      <c r="G390" s="2"/>
      <c r="H390" s="2" t="s">
        <v>112</v>
      </c>
      <c r="I390" s="2" t="s">
        <v>36</v>
      </c>
      <c r="J390" s="2" t="s">
        <v>37</v>
      </c>
      <c r="K390" s="4" t="str">
        <f t="shared" si="37"/>
        <v>Abrir enlace</v>
      </c>
      <c r="L390" s="2" t="s">
        <v>1324</v>
      </c>
      <c r="M390" s="2"/>
      <c r="N390" s="2" t="s">
        <v>45</v>
      </c>
      <c r="O390" s="2"/>
      <c r="P390" s="4" t="str">
        <f t="shared" si="38"/>
        <v>Abrir enlace</v>
      </c>
      <c r="Q390" s="2"/>
      <c r="R390" s="2"/>
      <c r="S390" s="2"/>
      <c r="T390" s="2"/>
      <c r="U390" s="2"/>
      <c r="V390" s="2"/>
      <c r="W390" s="2"/>
      <c r="X390" s="2"/>
      <c r="Y390" s="2"/>
      <c r="Z390" s="2"/>
      <c r="AA390" s="2" t="s">
        <v>40</v>
      </c>
      <c r="AB390" s="2" t="s">
        <v>67</v>
      </c>
      <c r="AC390" s="2"/>
      <c r="AD390" s="2"/>
      <c r="AE390" s="2"/>
    </row>
    <row r="391" ht="15.75" customHeight="1">
      <c r="A391" s="2">
        <v>391.0</v>
      </c>
      <c r="B391" s="2" t="s">
        <v>1321</v>
      </c>
      <c r="C391" s="2" t="s">
        <v>1322</v>
      </c>
      <c r="D391" s="2" t="s">
        <v>33</v>
      </c>
      <c r="E391" s="2" t="s">
        <v>112</v>
      </c>
      <c r="F391" s="3" t="s">
        <v>35</v>
      </c>
      <c r="G391" s="2"/>
      <c r="H391" s="2" t="s">
        <v>112</v>
      </c>
      <c r="I391" s="2" t="s">
        <v>36</v>
      </c>
      <c r="J391" s="2" t="s">
        <v>37</v>
      </c>
      <c r="K391" s="4" t="str">
        <f t="shared" si="37"/>
        <v>Abrir enlace</v>
      </c>
      <c r="L391" s="2" t="s">
        <v>1324</v>
      </c>
      <c r="M391" s="2"/>
      <c r="N391" s="2" t="s">
        <v>45</v>
      </c>
      <c r="O391" s="2"/>
      <c r="P391" s="4" t="str">
        <f t="shared" si="38"/>
        <v>Abrir enlace</v>
      </c>
      <c r="Q391" s="2"/>
      <c r="R391" s="2"/>
      <c r="S391" s="2"/>
      <c r="T391" s="2"/>
      <c r="U391" s="2"/>
      <c r="V391" s="2"/>
      <c r="W391" s="2"/>
      <c r="X391" s="2"/>
      <c r="Y391" s="2"/>
      <c r="Z391" s="2"/>
      <c r="AA391" s="2" t="s">
        <v>40</v>
      </c>
      <c r="AB391" s="2" t="s">
        <v>67</v>
      </c>
      <c r="AC391" s="2"/>
      <c r="AD391" s="2"/>
      <c r="AE391" s="2"/>
    </row>
    <row r="392" ht="15.75" customHeight="1">
      <c r="A392" s="2">
        <v>392.0</v>
      </c>
      <c r="B392" s="2" t="s">
        <v>1321</v>
      </c>
      <c r="C392" s="2" t="s">
        <v>1322</v>
      </c>
      <c r="D392" s="2" t="s">
        <v>33</v>
      </c>
      <c r="E392" s="2" t="s">
        <v>112</v>
      </c>
      <c r="F392" s="3" t="s">
        <v>35</v>
      </c>
      <c r="G392" s="2"/>
      <c r="H392" s="2" t="s">
        <v>112</v>
      </c>
      <c r="I392" s="2" t="s">
        <v>36</v>
      </c>
      <c r="J392" s="2" t="s">
        <v>37</v>
      </c>
      <c r="K392" s="4" t="str">
        <f t="shared" si="37"/>
        <v>Abrir enlace</v>
      </c>
      <c r="L392" s="2" t="s">
        <v>1324</v>
      </c>
      <c r="M392" s="2"/>
      <c r="N392" s="2" t="s">
        <v>45</v>
      </c>
      <c r="O392" s="2"/>
      <c r="P392" s="4" t="str">
        <f t="shared" si="38"/>
        <v>Abrir enlace</v>
      </c>
      <c r="Q392" s="2"/>
      <c r="R392" s="2"/>
      <c r="S392" s="2"/>
      <c r="T392" s="2"/>
      <c r="U392" s="2"/>
      <c r="V392" s="2"/>
      <c r="W392" s="2"/>
      <c r="X392" s="2"/>
      <c r="Y392" s="2"/>
      <c r="Z392" s="2"/>
      <c r="AA392" s="2" t="s">
        <v>40</v>
      </c>
      <c r="AB392" s="2" t="s">
        <v>67</v>
      </c>
      <c r="AC392" s="2"/>
      <c r="AD392" s="2"/>
      <c r="AE392" s="2"/>
    </row>
    <row r="393" ht="15.75" customHeight="1">
      <c r="A393" s="2">
        <v>393.0</v>
      </c>
      <c r="B393" s="2" t="s">
        <v>1321</v>
      </c>
      <c r="C393" s="2" t="s">
        <v>1322</v>
      </c>
      <c r="D393" s="2" t="s">
        <v>33</v>
      </c>
      <c r="E393" s="2" t="s">
        <v>112</v>
      </c>
      <c r="F393" s="3" t="s">
        <v>35</v>
      </c>
      <c r="G393" s="2"/>
      <c r="H393" s="2" t="s">
        <v>112</v>
      </c>
      <c r="I393" s="2" t="s">
        <v>36</v>
      </c>
      <c r="J393" s="2" t="s">
        <v>37</v>
      </c>
      <c r="K393" s="4" t="str">
        <f t="shared" si="37"/>
        <v>Abrir enlace</v>
      </c>
      <c r="L393" s="2" t="s">
        <v>1324</v>
      </c>
      <c r="M393" s="2"/>
      <c r="N393" s="2" t="s">
        <v>45</v>
      </c>
      <c r="O393" s="2"/>
      <c r="P393" s="4" t="str">
        <f t="shared" si="38"/>
        <v>Abrir enlace</v>
      </c>
      <c r="Q393" s="2"/>
      <c r="R393" s="2"/>
      <c r="S393" s="2"/>
      <c r="T393" s="2"/>
      <c r="U393" s="2"/>
      <c r="V393" s="2"/>
      <c r="W393" s="2"/>
      <c r="X393" s="2"/>
      <c r="Y393" s="2"/>
      <c r="Z393" s="2"/>
      <c r="AA393" s="2" t="s">
        <v>40</v>
      </c>
      <c r="AB393" s="2" t="s">
        <v>67</v>
      </c>
      <c r="AC393" s="2"/>
      <c r="AD393" s="2"/>
      <c r="AE393" s="2"/>
    </row>
    <row r="394" ht="15.75" customHeight="1">
      <c r="A394" s="2">
        <v>394.0</v>
      </c>
      <c r="B394" s="2" t="s">
        <v>1321</v>
      </c>
      <c r="C394" s="2" t="s">
        <v>1322</v>
      </c>
      <c r="D394" s="2" t="s">
        <v>33</v>
      </c>
      <c r="E394" s="2" t="s">
        <v>112</v>
      </c>
      <c r="F394" s="3" t="s">
        <v>35</v>
      </c>
      <c r="G394" s="2"/>
      <c r="H394" s="2" t="s">
        <v>112</v>
      </c>
      <c r="I394" s="2" t="s">
        <v>36</v>
      </c>
      <c r="J394" s="2" t="s">
        <v>37</v>
      </c>
      <c r="K394" s="4" t="str">
        <f t="shared" si="37"/>
        <v>Abrir enlace</v>
      </c>
      <c r="L394" s="2" t="s">
        <v>1324</v>
      </c>
      <c r="M394" s="2"/>
      <c r="N394" s="2" t="s">
        <v>45</v>
      </c>
      <c r="O394" s="2"/>
      <c r="P394" s="4" t="str">
        <f t="shared" si="38"/>
        <v>Abrir enlace</v>
      </c>
      <c r="Q394" s="2"/>
      <c r="R394" s="2"/>
      <c r="S394" s="2"/>
      <c r="T394" s="2"/>
      <c r="U394" s="2"/>
      <c r="V394" s="2"/>
      <c r="W394" s="2"/>
      <c r="X394" s="2"/>
      <c r="Y394" s="2"/>
      <c r="Z394" s="2"/>
      <c r="AA394" s="2" t="s">
        <v>40</v>
      </c>
      <c r="AB394" s="2" t="s">
        <v>67</v>
      </c>
      <c r="AC394" s="2"/>
      <c r="AD394" s="2"/>
      <c r="AE394" s="2"/>
    </row>
    <row r="395" ht="15.75" customHeight="1">
      <c r="A395" s="2">
        <v>395.0</v>
      </c>
      <c r="B395" s="2" t="s">
        <v>1321</v>
      </c>
      <c r="C395" s="2" t="s">
        <v>1322</v>
      </c>
      <c r="D395" s="2" t="s">
        <v>33</v>
      </c>
      <c r="E395" s="2" t="s">
        <v>112</v>
      </c>
      <c r="F395" s="3" t="s">
        <v>35</v>
      </c>
      <c r="G395" s="2"/>
      <c r="H395" s="2" t="s">
        <v>112</v>
      </c>
      <c r="I395" s="2" t="s">
        <v>36</v>
      </c>
      <c r="J395" s="2" t="s">
        <v>37</v>
      </c>
      <c r="K395" s="4" t="str">
        <f t="shared" si="37"/>
        <v>Abrir enlace</v>
      </c>
      <c r="L395" s="2" t="s">
        <v>1324</v>
      </c>
      <c r="M395" s="2"/>
      <c r="N395" s="2" t="s">
        <v>45</v>
      </c>
      <c r="O395" s="2"/>
      <c r="P395" s="4" t="str">
        <f t="shared" si="38"/>
        <v>Abrir enlace</v>
      </c>
      <c r="Q395" s="2"/>
      <c r="R395" s="2"/>
      <c r="S395" s="2"/>
      <c r="T395" s="2"/>
      <c r="U395" s="2"/>
      <c r="V395" s="2"/>
      <c r="W395" s="2"/>
      <c r="X395" s="2"/>
      <c r="Y395" s="2"/>
      <c r="Z395" s="2"/>
      <c r="AA395" s="2" t="s">
        <v>40</v>
      </c>
      <c r="AB395" s="2" t="s">
        <v>67</v>
      </c>
      <c r="AC395" s="2"/>
      <c r="AD395" s="2"/>
      <c r="AE395" s="2"/>
    </row>
    <row r="396" ht="15.75" customHeight="1">
      <c r="A396" s="2">
        <v>396.0</v>
      </c>
      <c r="B396" s="2" t="s">
        <v>1326</v>
      </c>
      <c r="C396" s="2" t="s">
        <v>1327</v>
      </c>
      <c r="D396" s="2" t="s">
        <v>33</v>
      </c>
      <c r="E396" s="2" t="s">
        <v>34</v>
      </c>
      <c r="F396" s="3" t="s">
        <v>35</v>
      </c>
      <c r="G396" s="2"/>
      <c r="H396" s="2" t="s">
        <v>34</v>
      </c>
      <c r="I396" s="2" t="s">
        <v>168</v>
      </c>
      <c r="J396" s="2" t="s">
        <v>1328</v>
      </c>
      <c r="K396" s="4" t="str">
        <f>HYPERLINK("https://archive.org/details/catulloelesbias00catugoog","Abrir enlace")</f>
        <v>Abrir enlace</v>
      </c>
      <c r="L396" s="2" t="s">
        <v>1329</v>
      </c>
      <c r="M396" s="2"/>
      <c r="N396" s="2" t="s">
        <v>54</v>
      </c>
      <c r="O396" s="2"/>
      <c r="P396" s="4" t="str">
        <f>HYPERLINK("https://archive.org/details/catulloelesbias00catugoog","Abrir enlace")</f>
        <v>Abrir enlace</v>
      </c>
      <c r="Q396" s="2"/>
      <c r="R396" s="2"/>
      <c r="S396" s="2"/>
      <c r="T396" s="2"/>
      <c r="U396" s="2"/>
      <c r="V396" s="2"/>
      <c r="W396" s="2"/>
      <c r="X396" s="2"/>
      <c r="Y396" s="2"/>
      <c r="Z396" s="2"/>
      <c r="AA396" s="2" t="s">
        <v>46</v>
      </c>
      <c r="AB396" s="2" t="s">
        <v>1330</v>
      </c>
      <c r="AC396" s="2"/>
      <c r="AD396" s="2"/>
      <c r="AE396" s="2"/>
    </row>
    <row r="397" ht="15.75" customHeight="1">
      <c r="A397" s="2">
        <v>397.0</v>
      </c>
      <c r="B397" s="2" t="s">
        <v>1331</v>
      </c>
      <c r="C397" s="2" t="s">
        <v>1332</v>
      </c>
      <c r="D397" s="2" t="s">
        <v>49</v>
      </c>
      <c r="E397" s="2" t="s">
        <v>64</v>
      </c>
      <c r="F397" s="3" t="s">
        <v>35</v>
      </c>
      <c r="G397" s="2"/>
      <c r="H397" s="2" t="s">
        <v>64</v>
      </c>
      <c r="I397" s="2" t="s">
        <v>36</v>
      </c>
      <c r="J397" s="2" t="s">
        <v>1333</v>
      </c>
      <c r="K397" s="4" t="str">
        <f>HYPERLINK("https://openlibrary.org/works/OL856902W","Abrir enlace")</f>
        <v>Abrir enlace</v>
      </c>
      <c r="L397" s="2" t="s">
        <v>1334</v>
      </c>
      <c r="M397" s="2"/>
      <c r="N397" s="2" t="s">
        <v>45</v>
      </c>
      <c r="O397" s="2"/>
      <c r="P397" s="4" t="str">
        <f>HYPERLINK("https://openlibrary.org/works/OL856902W","Abrir enlace")</f>
        <v>Abrir enlace</v>
      </c>
      <c r="Q397" s="2"/>
      <c r="R397" s="2"/>
      <c r="S397" s="2"/>
      <c r="T397" s="2"/>
      <c r="U397" s="2"/>
      <c r="V397" s="2"/>
      <c r="W397" s="2"/>
      <c r="X397" s="2"/>
      <c r="Y397" s="2"/>
      <c r="Z397" s="2"/>
      <c r="AA397" s="2" t="s">
        <v>66</v>
      </c>
      <c r="AB397" s="2" t="s">
        <v>1103</v>
      </c>
      <c r="AC397" s="2"/>
      <c r="AD397" s="2"/>
      <c r="AE397" s="2"/>
    </row>
    <row r="398" ht="15.75" customHeight="1">
      <c r="A398" s="2">
        <v>398.0</v>
      </c>
      <c r="B398" s="2" t="s">
        <v>1335</v>
      </c>
      <c r="C398" s="2" t="s">
        <v>1336</v>
      </c>
      <c r="D398" s="2" t="s">
        <v>165</v>
      </c>
      <c r="E398" s="2" t="s">
        <v>64</v>
      </c>
      <c r="F398" s="2" t="s">
        <v>35</v>
      </c>
      <c r="G398" s="2"/>
      <c r="H398" s="2" t="s">
        <v>64</v>
      </c>
      <c r="I398" s="2" t="s">
        <v>36</v>
      </c>
      <c r="J398" s="2" t="s">
        <v>1337</v>
      </c>
      <c r="K398" s="4" t="str">
        <f>HYPERLINK("https://www.scribd.com/document/734779889/Elementos-Para-El-Diseno-de-Paisaje-Alejandro-Cabeza-Perez","Abrir enlace")</f>
        <v>Abrir enlace</v>
      </c>
      <c r="L398" s="2" t="s">
        <v>1338</v>
      </c>
      <c r="M398" s="2"/>
      <c r="N398" s="2" t="s">
        <v>91</v>
      </c>
      <c r="O398" s="2" t="s">
        <v>1339</v>
      </c>
      <c r="P398" s="4" t="str">
        <f>HYPERLINK("https://www.scribd.com/document/734779889/Elementos-Para-El-Diseno-de-Paisaje-Alejandro-Cabeza-Perez","Abrir enlace")</f>
        <v>Abrir enlace</v>
      </c>
      <c r="Q398" s="2" t="s">
        <v>1340</v>
      </c>
      <c r="R398" s="2"/>
      <c r="S398" s="2" t="s">
        <v>91</v>
      </c>
      <c r="T398" s="2" t="s">
        <v>1341</v>
      </c>
      <c r="U398" s="4" t="str">
        <f>HYPERLINK("https://www.facebook.com/alexandro.walker/","Abrir enlace")</f>
        <v>Abrir enlace</v>
      </c>
      <c r="V398" s="2" t="s">
        <v>1342</v>
      </c>
      <c r="W398" s="2"/>
      <c r="X398" s="2" t="s">
        <v>91</v>
      </c>
      <c r="Y398" s="2" t="s">
        <v>1343</v>
      </c>
      <c r="Z398" s="4" t="str">
        <f>HYPERLINK("https://es.scribd.com/document/912097633/Los-Elementos-de-la-Gramatica-Inglesa-doc","Abrir enlace")</f>
        <v>Abrir enlace</v>
      </c>
      <c r="AA398" s="2"/>
      <c r="AB398" s="2"/>
      <c r="AC398" s="2"/>
      <c r="AD398" s="2"/>
      <c r="AE398" s="2"/>
    </row>
    <row r="399" ht="15.75" customHeight="1">
      <c r="A399" s="2">
        <v>399.0</v>
      </c>
      <c r="B399" s="2" t="s">
        <v>1344</v>
      </c>
      <c r="C399" s="2" t="s">
        <v>1345</v>
      </c>
      <c r="D399" s="2" t="s">
        <v>33</v>
      </c>
      <c r="E399" s="2" t="s">
        <v>34</v>
      </c>
      <c r="F399" s="2" t="s">
        <v>35</v>
      </c>
      <c r="G399" s="2"/>
      <c r="H399" s="2" t="s">
        <v>34</v>
      </c>
      <c r="I399" s="2" t="s">
        <v>36</v>
      </c>
      <c r="J399" s="2" t="s">
        <v>1346</v>
      </c>
      <c r="K399" s="4" t="str">
        <f>HYPERLINK("https://books.google.com/books/about/Memorie_storiche_del_ministero_de_due_vi.html?id=azN-mP55k_YC","Abrir enlace")</f>
        <v>Abrir enlace</v>
      </c>
      <c r="L399" s="2" t="s">
        <v>1347</v>
      </c>
      <c r="M399" s="2"/>
      <c r="N399" s="2" t="s">
        <v>91</v>
      </c>
      <c r="O399" s="2" t="s">
        <v>1204</v>
      </c>
      <c r="P399" s="4" t="str">
        <f>HYPERLINK("https://books.google.com/books/about/Memorie_storiche_del_ministero_de_due_vi.html?id=azN-mP55k_YC","Abrir enlace")</f>
        <v>Abrir enlace</v>
      </c>
      <c r="Q399" s="2" t="s">
        <v>1348</v>
      </c>
      <c r="R399" s="2"/>
      <c r="S399" s="2" t="s">
        <v>91</v>
      </c>
      <c r="T399" s="2" t="s">
        <v>1349</v>
      </c>
      <c r="U399" s="4" t="str">
        <f>HYPERLINK("https://catalog.hathitrust.org/Record/011563165","Abrir enlace")</f>
        <v>Abrir enlace</v>
      </c>
      <c r="V399" s="2" t="s">
        <v>1350</v>
      </c>
      <c r="W399" s="2"/>
      <c r="X399" s="2" t="s">
        <v>91</v>
      </c>
      <c r="Y399" s="2" t="s">
        <v>1255</v>
      </c>
      <c r="Z399" s="4" t="str">
        <f>HYPERLINK("https://archive.org/details/historicalmemoir0002unse","Abrir enlace")</f>
        <v>Abrir enlace</v>
      </c>
      <c r="AA399" s="2"/>
      <c r="AB399" s="2"/>
      <c r="AC399" s="2"/>
      <c r="AD399" s="2"/>
      <c r="AE399" s="2"/>
    </row>
    <row r="400" ht="15.75" customHeight="1">
      <c r="A400" s="2">
        <v>400.0</v>
      </c>
      <c r="B400" s="2" t="s">
        <v>1351</v>
      </c>
      <c r="C400" s="2"/>
      <c r="D400" s="2" t="s">
        <v>165</v>
      </c>
      <c r="E400" s="2" t="s">
        <v>64</v>
      </c>
      <c r="F400" s="3" t="s">
        <v>35</v>
      </c>
      <c r="G400" s="2"/>
      <c r="H400" s="2" t="s">
        <v>64</v>
      </c>
      <c r="I400" s="2" t="s">
        <v>36</v>
      </c>
      <c r="J400" s="2" t="s">
        <v>37</v>
      </c>
      <c r="K400" s="4" t="str">
        <f>HYPERLINK("https://archive.org/details/jstor-20636976","Abrir enlace")</f>
        <v>Abrir enlace</v>
      </c>
      <c r="L400" s="2" t="s">
        <v>1352</v>
      </c>
      <c r="M400" s="2"/>
      <c r="N400" s="2" t="s">
        <v>54</v>
      </c>
      <c r="O400" s="2"/>
      <c r="P400" s="4" t="str">
        <f>HYPERLINK("https://archive.org/details/jstor-20636976","Abrir enlace")</f>
        <v>Abrir enlace</v>
      </c>
      <c r="Q400" s="2"/>
      <c r="R400" s="2"/>
      <c r="S400" s="2"/>
      <c r="T400" s="2"/>
      <c r="U400" s="2"/>
      <c r="V400" s="2"/>
      <c r="W400" s="2"/>
      <c r="X400" s="2"/>
      <c r="Y400" s="2"/>
      <c r="Z400" s="2"/>
      <c r="AA400" s="2" t="s">
        <v>66</v>
      </c>
      <c r="AB400" s="2" t="s">
        <v>67</v>
      </c>
      <c r="AC400" s="2"/>
      <c r="AD400" s="2"/>
      <c r="AE400" s="2"/>
    </row>
    <row r="401" ht="15.75" customHeight="1">
      <c r="A401" s="2">
        <v>401.0</v>
      </c>
      <c r="B401" s="2" t="s">
        <v>1353</v>
      </c>
      <c r="C401" s="2" t="s">
        <v>1354</v>
      </c>
      <c r="D401" s="2" t="s">
        <v>33</v>
      </c>
      <c r="E401" s="2" t="s">
        <v>70</v>
      </c>
      <c r="F401" s="2" t="s">
        <v>35</v>
      </c>
      <c r="G401" s="2"/>
      <c r="H401" s="2" t="s">
        <v>70</v>
      </c>
      <c r="I401" s="2" t="s">
        <v>36</v>
      </c>
      <c r="J401" s="2" t="s">
        <v>1355</v>
      </c>
      <c r="K401" s="2"/>
      <c r="L401" s="2" t="s">
        <v>1356</v>
      </c>
      <c r="M401" s="2"/>
      <c r="N401" s="2" t="s">
        <v>91</v>
      </c>
      <c r="O401" s="2" t="s">
        <v>1357</v>
      </c>
      <c r="P401" s="2"/>
      <c r="Q401" s="2" t="s">
        <v>1358</v>
      </c>
      <c r="R401" s="2"/>
      <c r="S401" s="2" t="s">
        <v>91</v>
      </c>
      <c r="T401" s="2" t="s">
        <v>1359</v>
      </c>
      <c r="U401" s="4" t="str">
        <f>HYPERLINK("https://www.amazon.fr/Principios-traducidos-castellano-doctor-Peñafiel/dp/B001BXC2C4","Abrir enlace")</f>
        <v>Abrir enlace</v>
      </c>
      <c r="V401" s="2" t="s">
        <v>1360</v>
      </c>
      <c r="W401" s="2"/>
      <c r="X401" s="2" t="s">
        <v>91</v>
      </c>
      <c r="Y401" s="2" t="s">
        <v>1361</v>
      </c>
      <c r="Z401" s="4" t="str">
        <f>HYPERLINK("https://www.oocities.org/eqhd/mablygabriebonnotde.htm","Abrir enlace")</f>
        <v>Abrir enlace</v>
      </c>
      <c r="AA401" s="2"/>
      <c r="AB401" s="2"/>
      <c r="AC401" s="2"/>
      <c r="AD401" s="2"/>
      <c r="AE401" s="2"/>
    </row>
    <row r="402" ht="15.75" customHeight="1">
      <c r="A402" s="2">
        <v>402.0</v>
      </c>
      <c r="B402" s="2" t="s">
        <v>1362</v>
      </c>
      <c r="C402" s="2" t="s">
        <v>1363</v>
      </c>
      <c r="D402" s="2" t="s">
        <v>33</v>
      </c>
      <c r="E402" s="2" t="s">
        <v>64</v>
      </c>
      <c r="F402" s="2" t="s">
        <v>35</v>
      </c>
      <c r="G402" s="2"/>
      <c r="H402" s="2" t="s">
        <v>64</v>
      </c>
      <c r="I402" s="2" t="s">
        <v>36</v>
      </c>
      <c r="J402" s="2" t="s">
        <v>1364</v>
      </c>
      <c r="K402" s="4" t="str">
        <f>HYPERLINK("https://openlibrary.org/works/OL28894898W","Abrir enlace")</f>
        <v>Abrir enlace</v>
      </c>
      <c r="L402" s="2" t="s">
        <v>1365</v>
      </c>
      <c r="M402" s="2" t="s">
        <v>1366</v>
      </c>
      <c r="N402" s="2" t="s">
        <v>45</v>
      </c>
      <c r="O402" s="2" t="s">
        <v>836</v>
      </c>
      <c r="P402" s="4" t="str">
        <f>HYPERLINK("https://openlibrary.org/works/OL28894898W","Abrir enlace")</f>
        <v>Abrir enlace</v>
      </c>
      <c r="Q402" s="2" t="s">
        <v>1367</v>
      </c>
      <c r="R402" s="2"/>
      <c r="S402" s="2" t="s">
        <v>54</v>
      </c>
      <c r="T402" s="2" t="s">
        <v>1368</v>
      </c>
      <c r="U402" s="4" t="str">
        <f>HYPERLINK("https://archive.org/details/henrichs-kleinen-ellen-gramatica-limbii-engleze-scan","Abrir enlace")</f>
        <v>Abrir enlace</v>
      </c>
      <c r="V402" s="2" t="s">
        <v>1369</v>
      </c>
      <c r="W402" s="2" t="s">
        <v>1370</v>
      </c>
      <c r="X402" s="2" t="s">
        <v>54</v>
      </c>
      <c r="Y402" s="2" t="s">
        <v>1371</v>
      </c>
      <c r="Z402" s="4" t="str">
        <f>HYPERLINK("https://archive.org/details/bub_gb_zl3QRbkQefkC","Abrir enlace")</f>
        <v>Abrir enlace</v>
      </c>
      <c r="AA402" s="2"/>
      <c r="AB402" s="2"/>
      <c r="AC402" s="2"/>
      <c r="AD402" s="2"/>
      <c r="AE402" s="2"/>
    </row>
    <row r="403" ht="15.75" customHeight="1">
      <c r="A403" s="2">
        <v>403.0</v>
      </c>
      <c r="B403" s="2" t="s">
        <v>317</v>
      </c>
      <c r="C403" s="2" t="s">
        <v>956</v>
      </c>
      <c r="D403" s="2" t="s">
        <v>33</v>
      </c>
      <c r="E403" s="2" t="s">
        <v>64</v>
      </c>
      <c r="F403" s="2" t="s">
        <v>35</v>
      </c>
      <c r="G403" s="2"/>
      <c r="H403" s="2" t="s">
        <v>64</v>
      </c>
      <c r="I403" s="2" t="s">
        <v>36</v>
      </c>
      <c r="J403" s="2" t="s">
        <v>1372</v>
      </c>
      <c r="K403" s="4" t="str">
        <f>HYPERLINK("https://books.google.com/books/about/Les_Auteurs_latins_expliqués_d_après_u.html?id=MXkBGwAACAAJ","Abrir enlace")</f>
        <v>Abrir enlace</v>
      </c>
      <c r="L403" s="2" t="s">
        <v>1373</v>
      </c>
      <c r="M403" s="2"/>
      <c r="N403" s="2" t="s">
        <v>91</v>
      </c>
      <c r="O403" s="2" t="s">
        <v>92</v>
      </c>
      <c r="P403" s="4" t="str">
        <f>HYPERLINK("https://books.google.com/books/about/Les_Auteurs_latins_expliqués_d_après_u.html?id=MXkBGwAACAAJ","Abrir enlace")</f>
        <v>Abrir enlace</v>
      </c>
      <c r="Q403" s="2" t="s">
        <v>1374</v>
      </c>
      <c r="R403" s="2"/>
      <c r="S403" s="2" t="s">
        <v>91</v>
      </c>
      <c r="T403" s="2" t="s">
        <v>1375</v>
      </c>
      <c r="U403" s="4" t="str">
        <f>HYPERLINK("https://www.decitre.fr/livre-pod/les-auteurs-latins-expliques-d-apres-une-methode-nouvelle-par-deux-traductions-francaises-9782011862594.html","Abrir enlace")</f>
        <v>Abrir enlace</v>
      </c>
      <c r="V403" s="2" t="s">
        <v>1376</v>
      </c>
      <c r="W403" s="2"/>
      <c r="X403" s="2" t="s">
        <v>91</v>
      </c>
      <c r="Y403" s="2" t="s">
        <v>1377</v>
      </c>
      <c r="Z403" s="4" t="str">
        <f>HYPERLINK("https://ccfr.bnf.fr/portailccfr/ark:/16871/0017276474","Abrir enlace")</f>
        <v>Abrir enlace</v>
      </c>
      <c r="AA403" s="2"/>
      <c r="AB403" s="2"/>
      <c r="AC403" s="2"/>
      <c r="AD403" s="2"/>
      <c r="AE403" s="2"/>
    </row>
    <row r="404" ht="15.75" customHeight="1">
      <c r="A404" s="2">
        <v>404.0</v>
      </c>
      <c r="B404" s="2" t="s">
        <v>1378</v>
      </c>
      <c r="C404" s="2" t="s">
        <v>1131</v>
      </c>
      <c r="D404" s="2" t="s">
        <v>33</v>
      </c>
      <c r="E404" s="2" t="s">
        <v>34</v>
      </c>
      <c r="F404" s="3" t="s">
        <v>35</v>
      </c>
      <c r="G404" s="2"/>
      <c r="H404" s="2" t="s">
        <v>34</v>
      </c>
      <c r="I404" s="2" t="s">
        <v>36</v>
      </c>
      <c r="J404" s="2" t="s">
        <v>1379</v>
      </c>
      <c r="K404" s="4" t="str">
        <f>HYPERLINK("https://archive.org/details/clavehistorialc00huidgoog","Abrir enlace")</f>
        <v>Abrir enlace</v>
      </c>
      <c r="L404" s="2" t="s">
        <v>1380</v>
      </c>
      <c r="M404" s="2"/>
      <c r="N404" s="2" t="s">
        <v>54</v>
      </c>
      <c r="O404" s="2"/>
      <c r="P404" s="4" t="str">
        <f>HYPERLINK("https://archive.org/details/clavehistorialc00huidgoog","Abrir enlace")</f>
        <v>Abrir enlace</v>
      </c>
      <c r="Q404" s="2"/>
      <c r="R404" s="2"/>
      <c r="S404" s="2"/>
      <c r="T404" s="2"/>
      <c r="U404" s="2"/>
      <c r="V404" s="2"/>
      <c r="W404" s="2"/>
      <c r="X404" s="2"/>
      <c r="Y404" s="2"/>
      <c r="Z404" s="2"/>
      <c r="AA404" s="2" t="s">
        <v>46</v>
      </c>
      <c r="AB404" s="2" t="s">
        <v>1381</v>
      </c>
      <c r="AC404" s="2"/>
      <c r="AD404" s="2"/>
      <c r="AE404" s="2"/>
    </row>
    <row r="405" ht="15.75" customHeight="1">
      <c r="A405" s="2">
        <v>405.0</v>
      </c>
      <c r="B405" s="2" t="s">
        <v>1382</v>
      </c>
      <c r="C405" s="2"/>
      <c r="D405" s="2" t="s">
        <v>49</v>
      </c>
      <c r="E405" s="2" t="s">
        <v>34</v>
      </c>
      <c r="F405" s="2" t="s">
        <v>35</v>
      </c>
      <c r="G405" s="2"/>
      <c r="H405" s="2" t="s">
        <v>34</v>
      </c>
      <c r="I405" s="2" t="s">
        <v>36</v>
      </c>
      <c r="J405" s="2" t="s">
        <v>1383</v>
      </c>
      <c r="K405" s="4" t="str">
        <f>HYPERLINK("https://books.google.com/books/about/La_comparaison_de_Thucydide_et_de_Tite_L.html?id=OrHVGy4iUkEC","Abrir enlace")</f>
        <v>Abrir enlace</v>
      </c>
      <c r="L405" s="2" t="s">
        <v>1384</v>
      </c>
      <c r="M405" s="2"/>
      <c r="N405" s="2" t="s">
        <v>91</v>
      </c>
      <c r="O405" s="2" t="s">
        <v>935</v>
      </c>
      <c r="P405" s="4" t="str">
        <f>HYPERLINK("https://books.google.com/books/about/La_comparaison_de_Thucydide_et_de_Tite_L.html?id=OrHVGy4iUkEC","Abrir enlace")</f>
        <v>Abrir enlace</v>
      </c>
      <c r="Q405" s="2" t="s">
        <v>1385</v>
      </c>
      <c r="R405" s="2"/>
      <c r="S405" s="2" t="s">
        <v>91</v>
      </c>
      <c r="T405" s="2" t="s">
        <v>1386</v>
      </c>
      <c r="U405" s="4" t="str">
        <f>HYPERLINK("https://www.etudes-litteraires.com/forum/d/47196-rene-rapin-comparaison-de-thucydide-et-de-tite-live","Abrir enlace")</f>
        <v>Abrir enlace</v>
      </c>
      <c r="V405" s="2" t="s">
        <v>1387</v>
      </c>
      <c r="W405" s="2"/>
      <c r="X405" s="2" t="s">
        <v>91</v>
      </c>
      <c r="Y405" s="2" t="s">
        <v>1388</v>
      </c>
      <c r="Z405" s="4" t="str">
        <f>HYPERLINK("https://books.openedition.org/ausonius/2582","Abrir enlace")</f>
        <v>Abrir enlace</v>
      </c>
      <c r="AA405" s="2"/>
      <c r="AB405" s="2"/>
      <c r="AC405" s="2"/>
      <c r="AD405" s="2"/>
      <c r="AE405" s="2"/>
    </row>
    <row r="406" ht="15.75" customHeight="1">
      <c r="A406" s="2">
        <v>406.0</v>
      </c>
      <c r="B406" s="2" t="s">
        <v>1389</v>
      </c>
      <c r="C406" s="2" t="s">
        <v>1390</v>
      </c>
      <c r="D406" s="2" t="s">
        <v>33</v>
      </c>
      <c r="E406" s="2" t="s">
        <v>64</v>
      </c>
      <c r="F406" s="3" t="s">
        <v>35</v>
      </c>
      <c r="G406" s="2"/>
      <c r="H406" s="2" t="s">
        <v>64</v>
      </c>
      <c r="I406" s="2" t="s">
        <v>36</v>
      </c>
      <c r="J406" s="2" t="s">
        <v>37</v>
      </c>
      <c r="K406" s="4" t="str">
        <f>HYPERLINK("https://archive.org/details/ahx1978.0001.001.umich.edu","Abrir enlace")</f>
        <v>Abrir enlace</v>
      </c>
      <c r="L406" s="2" t="s">
        <v>1391</v>
      </c>
      <c r="M406" s="2"/>
      <c r="N406" s="2" t="s">
        <v>54</v>
      </c>
      <c r="O406" s="2"/>
      <c r="P406" s="4" t="str">
        <f>HYPERLINK("https://archive.org/details/ahx1978.0001.001.umich.edu","Abrir enlace")</f>
        <v>Abrir enlace</v>
      </c>
      <c r="Q406" s="2"/>
      <c r="R406" s="2"/>
      <c r="S406" s="2"/>
      <c r="T406" s="2"/>
      <c r="U406" s="2"/>
      <c r="V406" s="2"/>
      <c r="W406" s="2"/>
      <c r="X406" s="2"/>
      <c r="Y406" s="2"/>
      <c r="Z406" s="2"/>
      <c r="AA406" s="2" t="s">
        <v>46</v>
      </c>
      <c r="AB406" s="2" t="s">
        <v>67</v>
      </c>
      <c r="AC406" s="2"/>
      <c r="AD406" s="2"/>
      <c r="AE406" s="2"/>
    </row>
    <row r="407" ht="15.75" customHeight="1">
      <c r="A407" s="2">
        <v>407.0</v>
      </c>
      <c r="B407" s="2" t="s">
        <v>1392</v>
      </c>
      <c r="C407" s="2" t="s">
        <v>1390</v>
      </c>
      <c r="D407" s="2" t="s">
        <v>33</v>
      </c>
      <c r="E407" s="2" t="s">
        <v>64</v>
      </c>
      <c r="F407" s="3" t="s">
        <v>35</v>
      </c>
      <c r="G407" s="2"/>
      <c r="H407" s="2" t="s">
        <v>64</v>
      </c>
      <c r="I407" s="2" t="s">
        <v>36</v>
      </c>
      <c r="J407" s="2" t="s">
        <v>37</v>
      </c>
      <c r="K407" s="2" t="s">
        <v>1393</v>
      </c>
      <c r="L407" s="2" t="s">
        <v>1394</v>
      </c>
      <c r="M407" s="2"/>
      <c r="N407" s="2" t="s">
        <v>54</v>
      </c>
      <c r="O407" s="2"/>
      <c r="P407" s="2" t="s">
        <v>1393</v>
      </c>
      <c r="Q407" s="2"/>
      <c r="R407" s="2"/>
      <c r="S407" s="2"/>
      <c r="T407" s="2"/>
      <c r="U407" s="2"/>
      <c r="V407" s="2"/>
      <c r="W407" s="2"/>
      <c r="X407" s="2"/>
      <c r="Y407" s="2"/>
      <c r="Z407" s="2"/>
      <c r="AA407" s="2" t="s">
        <v>40</v>
      </c>
      <c r="AB407" s="2" t="s">
        <v>67</v>
      </c>
      <c r="AC407" s="2"/>
      <c r="AD407" s="2"/>
      <c r="AE407" s="2"/>
    </row>
    <row r="408" ht="15.75" customHeight="1">
      <c r="A408" s="2">
        <v>408.0</v>
      </c>
      <c r="B408" s="2" t="s">
        <v>1395</v>
      </c>
      <c r="C408" s="2" t="s">
        <v>1396</v>
      </c>
      <c r="D408" s="2" t="s">
        <v>33</v>
      </c>
      <c r="E408" s="2" t="s">
        <v>64</v>
      </c>
      <c r="F408" s="3" t="s">
        <v>35</v>
      </c>
      <c r="G408" s="2"/>
      <c r="H408" s="2" t="s">
        <v>64</v>
      </c>
      <c r="I408" s="2" t="s">
        <v>36</v>
      </c>
      <c r="J408" s="2" t="s">
        <v>37</v>
      </c>
      <c r="K408" s="4" t="str">
        <f>HYPERLINK("https://archive.org/details/bub_gb_cF-lRdUCVtEC","Abrir enlace")</f>
        <v>Abrir enlace</v>
      </c>
      <c r="L408" s="2" t="s">
        <v>1395</v>
      </c>
      <c r="M408" s="2"/>
      <c r="N408" s="2" t="s">
        <v>54</v>
      </c>
      <c r="O408" s="2"/>
      <c r="P408" s="4" t="str">
        <f>HYPERLINK("https://archive.org/details/bub_gb_cF-lRdUCVtEC","Abrir enlace")</f>
        <v>Abrir enlace</v>
      </c>
      <c r="Q408" s="2"/>
      <c r="R408" s="2"/>
      <c r="S408" s="2"/>
      <c r="T408" s="2"/>
      <c r="U408" s="2"/>
      <c r="V408" s="2"/>
      <c r="W408" s="2"/>
      <c r="X408" s="2"/>
      <c r="Y408" s="2"/>
      <c r="Z408" s="2"/>
      <c r="AA408" s="2" t="s">
        <v>60</v>
      </c>
      <c r="AB408" s="2" t="s">
        <v>67</v>
      </c>
      <c r="AC408" s="2"/>
      <c r="AD408" s="2"/>
      <c r="AE408" s="2"/>
    </row>
    <row r="409" ht="15.75" customHeight="1">
      <c r="A409" s="2">
        <v>409.0</v>
      </c>
      <c r="B409" s="2" t="s">
        <v>1397</v>
      </c>
      <c r="C409" s="2" t="s">
        <v>1398</v>
      </c>
      <c r="D409" s="2" t="s">
        <v>33</v>
      </c>
      <c r="E409" s="2" t="s">
        <v>34</v>
      </c>
      <c r="F409" s="2" t="s">
        <v>35</v>
      </c>
      <c r="G409" s="2"/>
      <c r="H409" s="2" t="s">
        <v>34</v>
      </c>
      <c r="I409" s="2" t="s">
        <v>36</v>
      </c>
      <c r="J409" s="2" t="s">
        <v>1399</v>
      </c>
      <c r="K409" s="4" t="str">
        <f>HYPERLINK("https://archive.org/details/bwb_KU-339-026","Abrir enlace")</f>
        <v>Abrir enlace</v>
      </c>
      <c r="L409" s="2" t="s">
        <v>1397</v>
      </c>
      <c r="M409" s="2" t="s">
        <v>1400</v>
      </c>
      <c r="N409" s="2" t="s">
        <v>54</v>
      </c>
      <c r="O409" s="2" t="s">
        <v>92</v>
      </c>
      <c r="P409" s="4" t="str">
        <f>HYPERLINK("https://archive.org/details/bwb_KU-339-026","Abrir enlace")</f>
        <v>Abrir enlace</v>
      </c>
      <c r="Q409" s="2" t="s">
        <v>1401</v>
      </c>
      <c r="R409" s="2" t="s">
        <v>1402</v>
      </c>
      <c r="S409" s="2" t="s">
        <v>54</v>
      </c>
      <c r="T409" s="2" t="s">
        <v>1403</v>
      </c>
      <c r="U409" s="4" t="str">
        <f>HYPERLINK("https://archive.org/details/borgiabride0000kalo","Abrir enlace")</f>
        <v>Abrir enlace</v>
      </c>
      <c r="V409" s="2" t="s">
        <v>1404</v>
      </c>
      <c r="W409" s="2"/>
      <c r="X409" s="2" t="s">
        <v>54</v>
      </c>
      <c r="Y409" s="2" t="s">
        <v>1405</v>
      </c>
      <c r="Z409" s="4" t="str">
        <f>HYPERLINK("https://archive.org/details/gov.uscourts.tnwb.508002","Abrir enlace")</f>
        <v>Abrir enlace</v>
      </c>
      <c r="AA409" s="2"/>
      <c r="AB409" s="2"/>
      <c r="AC409" s="2"/>
      <c r="AD409" s="2"/>
      <c r="AE409" s="2"/>
    </row>
    <row r="410" ht="15.75" customHeight="1">
      <c r="A410" s="2">
        <v>410.0</v>
      </c>
      <c r="B410" s="2" t="s">
        <v>1406</v>
      </c>
      <c r="C410" s="2" t="s">
        <v>181</v>
      </c>
      <c r="D410" s="2" t="s">
        <v>33</v>
      </c>
      <c r="E410" s="2" t="s">
        <v>64</v>
      </c>
      <c r="F410" s="3" t="s">
        <v>35</v>
      </c>
      <c r="G410" s="2"/>
      <c r="H410" s="2" t="s">
        <v>64</v>
      </c>
      <c r="I410" s="2" t="s">
        <v>36</v>
      </c>
      <c r="J410" s="2" t="s">
        <v>1407</v>
      </c>
      <c r="K410" s="4" t="str">
        <f>HYPERLINK("https://openlibrary.org/works/OL29724672W","Abrir enlace")</f>
        <v>Abrir enlace</v>
      </c>
      <c r="L410" s="2" t="s">
        <v>1406</v>
      </c>
      <c r="M410" s="2"/>
      <c r="N410" s="2" t="s">
        <v>45</v>
      </c>
      <c r="O410" s="2"/>
      <c r="P410" s="4" t="str">
        <f>HYPERLINK("https://openlibrary.org/works/OL29724672W","Abrir enlace")</f>
        <v>Abrir enlace</v>
      </c>
      <c r="Q410" s="2"/>
      <c r="R410" s="2"/>
      <c r="S410" s="2"/>
      <c r="T410" s="2"/>
      <c r="U410" s="2"/>
      <c r="V410" s="2"/>
      <c r="W410" s="2"/>
      <c r="X410" s="2"/>
      <c r="Y410" s="2"/>
      <c r="Z410" s="2"/>
      <c r="AA410" s="2" t="s">
        <v>40</v>
      </c>
      <c r="AB410" s="2" t="s">
        <v>1408</v>
      </c>
      <c r="AC410" s="2"/>
      <c r="AD410" s="2"/>
      <c r="AE410" s="2"/>
    </row>
    <row r="411" ht="15.75" customHeight="1">
      <c r="A411" s="2">
        <v>411.0</v>
      </c>
      <c r="B411" s="2" t="s">
        <v>1409</v>
      </c>
      <c r="C411" s="2"/>
      <c r="D411" s="2" t="s">
        <v>165</v>
      </c>
      <c r="E411" s="2" t="s">
        <v>64</v>
      </c>
      <c r="F411" s="2" t="s">
        <v>35</v>
      </c>
      <c r="G411" s="2"/>
      <c r="H411" s="2" t="s">
        <v>64</v>
      </c>
      <c r="I411" s="2" t="s">
        <v>36</v>
      </c>
      <c r="J411" s="2" t="s">
        <v>1410</v>
      </c>
      <c r="K411" s="4" t="str">
        <f>HYPERLINK("http://cdigital.dgb.uanl.mx/la/1080026202/1080026202.PDF","Abrir enlace")</f>
        <v>Abrir enlace</v>
      </c>
      <c r="L411" s="2" t="s">
        <v>1411</v>
      </c>
      <c r="M411" s="2"/>
      <c r="N411" s="2" t="s">
        <v>91</v>
      </c>
      <c r="O411" s="2" t="s">
        <v>1226</v>
      </c>
      <c r="P411" s="4" t="str">
        <f>HYPERLINK("http://cdigital.dgb.uanl.mx/la/1080026202/1080026202.PDF","Abrir enlace")</f>
        <v>Abrir enlace</v>
      </c>
      <c r="Q411" s="2" t="s">
        <v>1412</v>
      </c>
      <c r="R411" s="2"/>
      <c r="S411" s="2" t="s">
        <v>91</v>
      </c>
      <c r="T411" s="2" t="s">
        <v>96</v>
      </c>
      <c r="U411" s="4" t="str">
        <f>HYPERLINK("https://archive.org/details/1536711","Abrir enlace")</f>
        <v>Abrir enlace</v>
      </c>
      <c r="V411" s="2" t="s">
        <v>1413</v>
      </c>
      <c r="W411" s="2"/>
      <c r="X411" s="2" t="s">
        <v>91</v>
      </c>
      <c r="Y411" s="2" t="s">
        <v>1414</v>
      </c>
      <c r="Z411" s="4" t="str">
        <f>HYPERLINK("https://books.google.com/books/about/Arte_retórica_e_arte_poética.html?id=iG3vAAAACAAJ","Abrir enlace")</f>
        <v>Abrir enlace</v>
      </c>
      <c r="AA411" s="2"/>
      <c r="AB411" s="2"/>
      <c r="AC411" s="2"/>
      <c r="AD411" s="2"/>
      <c r="AE411" s="2"/>
    </row>
    <row r="412" ht="15.75" customHeight="1">
      <c r="A412" s="2">
        <v>412.0</v>
      </c>
      <c r="B412" s="2" t="s">
        <v>1415</v>
      </c>
      <c r="C412" s="2" t="s">
        <v>1416</v>
      </c>
      <c r="D412" s="2" t="s">
        <v>49</v>
      </c>
      <c r="E412" s="2" t="s">
        <v>64</v>
      </c>
      <c r="F412" s="2" t="s">
        <v>35</v>
      </c>
      <c r="G412" s="2"/>
      <c r="H412" s="2" t="s">
        <v>64</v>
      </c>
      <c r="I412" s="2" t="s">
        <v>36</v>
      </c>
      <c r="J412" s="2" t="s">
        <v>1417</v>
      </c>
      <c r="K412" s="4" t="str">
        <f>HYPERLINK("https://shop.barnesandnoble.com/products/9781024785258","Abrir enlace")</f>
        <v>Abrir enlace</v>
      </c>
      <c r="L412" s="2" t="s">
        <v>1418</v>
      </c>
      <c r="M412" s="2"/>
      <c r="N412" s="2" t="s">
        <v>91</v>
      </c>
      <c r="O412" s="2" t="s">
        <v>1419</v>
      </c>
      <c r="P412" s="4" t="str">
        <f>HYPERLINK("https://shop.barnesandnoble.com/products/9781024785258","Abrir enlace")</f>
        <v>Abrir enlace</v>
      </c>
      <c r="Q412" s="2" t="s">
        <v>1420</v>
      </c>
      <c r="R412" s="2"/>
      <c r="S412" s="2" t="s">
        <v>91</v>
      </c>
      <c r="T412" s="2" t="s">
        <v>1421</v>
      </c>
      <c r="U412" s="4" t="str">
        <f>HYPERLINK("https://www.ebay.com/itm/147098664127","Abrir enlace")</f>
        <v>Abrir enlace</v>
      </c>
      <c r="V412" s="2" t="s">
        <v>1422</v>
      </c>
      <c r="W412" s="2"/>
      <c r="X412" s="2" t="s">
        <v>91</v>
      </c>
      <c r="Y412" s="2" t="s">
        <v>1423</v>
      </c>
      <c r="Z412" s="4" t="str">
        <f>HYPERLINK("https://www.rbthieme.org/ordering/publications/thieme's--bible--doctrine--dictionary","Abrir enlace")</f>
        <v>Abrir enlace</v>
      </c>
      <c r="AA412" s="2"/>
      <c r="AB412" s="2"/>
      <c r="AC412" s="2"/>
      <c r="AD412" s="2"/>
      <c r="AE412" s="2"/>
    </row>
    <row r="413" ht="15.75" customHeight="1">
      <c r="A413" s="2">
        <v>413.0</v>
      </c>
      <c r="B413" s="2" t="s">
        <v>1424</v>
      </c>
      <c r="C413" s="2" t="s">
        <v>1425</v>
      </c>
      <c r="D413" s="2" t="s">
        <v>33</v>
      </c>
      <c r="E413" s="2" t="s">
        <v>64</v>
      </c>
      <c r="F413" s="3" t="s">
        <v>35</v>
      </c>
      <c r="G413" s="2"/>
      <c r="H413" s="2" t="s">
        <v>64</v>
      </c>
      <c r="I413" s="2" t="s">
        <v>36</v>
      </c>
      <c r="J413" s="2" t="s">
        <v>37</v>
      </c>
      <c r="K413" s="4" t="str">
        <f>HYPERLINK("https://openlibrary.org/works/OL124789W","Abrir enlace")</f>
        <v>Abrir enlace</v>
      </c>
      <c r="L413" s="2" t="s">
        <v>1424</v>
      </c>
      <c r="M413" s="2"/>
      <c r="N413" s="2" t="s">
        <v>45</v>
      </c>
      <c r="O413" s="2"/>
      <c r="P413" s="4" t="str">
        <f>HYPERLINK("https://openlibrary.org/works/OL124789W","Abrir enlace")</f>
        <v>Abrir enlace</v>
      </c>
      <c r="Q413" s="2"/>
      <c r="R413" s="2"/>
      <c r="S413" s="2"/>
      <c r="T413" s="2"/>
      <c r="U413" s="2"/>
      <c r="V413" s="2"/>
      <c r="W413" s="2"/>
      <c r="X413" s="2"/>
      <c r="Y413" s="2"/>
      <c r="Z413" s="2"/>
      <c r="AA413" s="2" t="s">
        <v>46</v>
      </c>
      <c r="AB413" s="2" t="s">
        <v>67</v>
      </c>
      <c r="AC413" s="2"/>
      <c r="AD413" s="2"/>
      <c r="AE413" s="2"/>
    </row>
    <row r="414" ht="15.75" customHeight="1">
      <c r="A414" s="2">
        <v>414.0</v>
      </c>
      <c r="B414" s="2" t="s">
        <v>1426</v>
      </c>
      <c r="C414" s="2" t="s">
        <v>1427</v>
      </c>
      <c r="D414" s="2" t="s">
        <v>33</v>
      </c>
      <c r="E414" s="2" t="s">
        <v>188</v>
      </c>
      <c r="F414" s="3" t="s">
        <v>35</v>
      </c>
      <c r="G414" s="2"/>
      <c r="H414" s="2" t="s">
        <v>188</v>
      </c>
      <c r="I414" s="2" t="s">
        <v>36</v>
      </c>
      <c r="J414" s="2" t="s">
        <v>37</v>
      </c>
      <c r="K414" s="4" t="str">
        <f>HYPERLINK("https://openlibrary.org/works/OL35501837W","Abrir enlace")</f>
        <v>Abrir enlace</v>
      </c>
      <c r="L414" s="2" t="s">
        <v>1428</v>
      </c>
      <c r="M414" s="2"/>
      <c r="N414" s="2" t="s">
        <v>45</v>
      </c>
      <c r="O414" s="2"/>
      <c r="P414" s="4" t="str">
        <f>HYPERLINK("https://openlibrary.org/works/OL35501837W","Abrir enlace")</f>
        <v>Abrir enlace</v>
      </c>
      <c r="Q414" s="2"/>
      <c r="R414" s="2"/>
      <c r="S414" s="2"/>
      <c r="T414" s="2"/>
      <c r="U414" s="2"/>
      <c r="V414" s="2"/>
      <c r="W414" s="2"/>
      <c r="X414" s="2"/>
      <c r="Y414" s="2"/>
      <c r="Z414" s="2"/>
      <c r="AA414" s="2" t="s">
        <v>40</v>
      </c>
      <c r="AB414" s="2" t="s">
        <v>551</v>
      </c>
      <c r="AC414" s="2"/>
      <c r="AD414" s="2"/>
      <c r="AE414" s="2"/>
    </row>
    <row r="415" ht="15.75" customHeight="1">
      <c r="A415" s="2">
        <v>415.0</v>
      </c>
      <c r="B415" s="2" t="s">
        <v>1429</v>
      </c>
      <c r="C415" s="2" t="s">
        <v>1430</v>
      </c>
      <c r="D415" s="2" t="s">
        <v>33</v>
      </c>
      <c r="E415" s="2" t="s">
        <v>64</v>
      </c>
      <c r="F415" s="3" t="s">
        <v>35</v>
      </c>
      <c r="G415" s="2"/>
      <c r="H415" s="2" t="s">
        <v>64</v>
      </c>
      <c r="I415" s="2" t="s">
        <v>36</v>
      </c>
      <c r="J415" s="2" t="s">
        <v>37</v>
      </c>
      <c r="K415" s="4" t="str">
        <f>HYPERLINK("https://openlibrary.org/works/OL18030095W","Abrir enlace")</f>
        <v>Abrir enlace</v>
      </c>
      <c r="L415" s="2" t="s">
        <v>1431</v>
      </c>
      <c r="M415" s="2"/>
      <c r="N415" s="2" t="s">
        <v>45</v>
      </c>
      <c r="O415" s="2"/>
      <c r="P415" s="4" t="str">
        <f>HYPERLINK("https://openlibrary.org/works/OL18030095W","Abrir enlace")</f>
        <v>Abrir enlace</v>
      </c>
      <c r="Q415" s="2"/>
      <c r="R415" s="2"/>
      <c r="S415" s="2"/>
      <c r="T415" s="2"/>
      <c r="U415" s="2"/>
      <c r="V415" s="2"/>
      <c r="W415" s="2"/>
      <c r="X415" s="2"/>
      <c r="Y415" s="2"/>
      <c r="Z415" s="2"/>
      <c r="AA415" s="2" t="s">
        <v>40</v>
      </c>
      <c r="AB415" s="2" t="s">
        <v>67</v>
      </c>
      <c r="AC415" s="2"/>
      <c r="AD415" s="2"/>
      <c r="AE415" s="2"/>
    </row>
    <row r="416" ht="15.75" customHeight="1">
      <c r="A416" s="2">
        <v>416.0</v>
      </c>
      <c r="B416" s="2" t="s">
        <v>1432</v>
      </c>
      <c r="C416" s="2"/>
      <c r="D416" s="2" t="s">
        <v>49</v>
      </c>
      <c r="E416" s="2" t="s">
        <v>64</v>
      </c>
      <c r="F416" s="2" t="s">
        <v>35</v>
      </c>
      <c r="G416" s="2"/>
      <c r="H416" s="2" t="s">
        <v>64</v>
      </c>
      <c r="I416" s="2" t="s">
        <v>36</v>
      </c>
      <c r="J416" s="2" t="s">
        <v>1433</v>
      </c>
      <c r="K416" s="4" t="str">
        <f>HYPERLINK("https://www.amazon.com/youthful-martyrs-Rome-Christian-Catacombs/dp/B0008AFL56","Abrir enlace")</f>
        <v>Abrir enlace</v>
      </c>
      <c r="L416" s="2" t="s">
        <v>1434</v>
      </c>
      <c r="M416" s="2"/>
      <c r="N416" s="2" t="s">
        <v>91</v>
      </c>
      <c r="O416" s="2" t="s">
        <v>1187</v>
      </c>
      <c r="P416" s="4" t="str">
        <f>HYPERLINK("https://www.amazon.com/youthful-martyrs-Rome-Christian-Catacombs/dp/B0008AFL56","Abrir enlace")</f>
        <v>Abrir enlace</v>
      </c>
      <c r="Q416" s="2" t="s">
        <v>1435</v>
      </c>
      <c r="R416" s="2"/>
      <c r="S416" s="2" t="s">
        <v>91</v>
      </c>
      <c r="T416" s="2" t="s">
        <v>1436</v>
      </c>
      <c r="U416" s="4" t="str">
        <f>HYPERLINK("https://en.wikipedia.org/wiki/First_Martyrs_of_the_Church_of_Rome","Abrir enlace")</f>
        <v>Abrir enlace</v>
      </c>
      <c r="V416" s="2" t="s">
        <v>1437</v>
      </c>
      <c r="W416" s="2" t="s">
        <v>1438</v>
      </c>
      <c r="X416" s="2" t="s">
        <v>54</v>
      </c>
      <c r="Y416" s="2" t="s">
        <v>1439</v>
      </c>
      <c r="Z416" s="4" t="str">
        <f>HYPERLINK("https://archive.org/details/bwb_Y0-BCM-857","Abrir enlace")</f>
        <v>Abrir enlace</v>
      </c>
      <c r="AA416" s="2"/>
      <c r="AB416" s="2"/>
      <c r="AC416" s="2"/>
      <c r="AD416" s="2"/>
      <c r="AE416" s="2"/>
    </row>
    <row r="417" ht="15.75" customHeight="1">
      <c r="A417" s="2">
        <v>417.0</v>
      </c>
      <c r="B417" s="2" t="s">
        <v>1440</v>
      </c>
      <c r="C417" s="2" t="s">
        <v>1441</v>
      </c>
      <c r="D417" s="2" t="s">
        <v>33</v>
      </c>
      <c r="E417" s="2" t="s">
        <v>34</v>
      </c>
      <c r="F417" s="3" t="s">
        <v>35</v>
      </c>
      <c r="G417" s="2"/>
      <c r="H417" s="2" t="s">
        <v>34</v>
      </c>
      <c r="I417" s="2" t="s">
        <v>36</v>
      </c>
      <c r="J417" s="2" t="s">
        <v>37</v>
      </c>
      <c r="K417" s="4" t="str">
        <f>HYPERLINK("https://openlibrary.org/works/OL233039W","Abrir enlace")</f>
        <v>Abrir enlace</v>
      </c>
      <c r="L417" s="2" t="s">
        <v>1442</v>
      </c>
      <c r="M417" s="2"/>
      <c r="N417" s="2" t="s">
        <v>45</v>
      </c>
      <c r="O417" s="2"/>
      <c r="P417" s="4" t="str">
        <f>HYPERLINK("https://openlibrary.org/works/OL233039W","Abrir enlace")</f>
        <v>Abrir enlace</v>
      </c>
      <c r="Q417" s="2"/>
      <c r="R417" s="2"/>
      <c r="S417" s="2"/>
      <c r="T417" s="2"/>
      <c r="U417" s="2"/>
      <c r="V417" s="2"/>
      <c r="W417" s="2"/>
      <c r="X417" s="2"/>
      <c r="Y417" s="2"/>
      <c r="Z417" s="2"/>
      <c r="AA417" s="2" t="s">
        <v>51</v>
      </c>
      <c r="AB417" s="2" t="s">
        <v>41</v>
      </c>
      <c r="AC417" s="2"/>
      <c r="AD417" s="2"/>
      <c r="AE417" s="2"/>
    </row>
    <row r="418" ht="15.75" customHeight="1">
      <c r="A418" s="2">
        <v>418.0</v>
      </c>
      <c r="B418" s="2" t="s">
        <v>1443</v>
      </c>
      <c r="C418" s="2"/>
      <c r="D418" s="2" t="s">
        <v>165</v>
      </c>
      <c r="E418" s="2" t="s">
        <v>64</v>
      </c>
      <c r="F418" s="2" t="s">
        <v>35</v>
      </c>
      <c r="G418" s="2"/>
      <c r="H418" s="2" t="s">
        <v>64</v>
      </c>
      <c r="I418" s="2" t="s">
        <v>36</v>
      </c>
      <c r="J418" s="2" t="s">
        <v>1444</v>
      </c>
      <c r="K418" s="4" t="str">
        <f>HYPERLINK("https://archive.org/details/bub_gb_4sNtOtPxotsC","Abrir enlace")</f>
        <v>Abrir enlace</v>
      </c>
      <c r="L418" s="2" t="s">
        <v>1445</v>
      </c>
      <c r="M418" s="2"/>
      <c r="N418" s="2" t="s">
        <v>91</v>
      </c>
      <c r="O418" s="2" t="s">
        <v>1446</v>
      </c>
      <c r="P418" s="4" t="str">
        <f>HYPERLINK("https://archive.org/details/bub_gb_4sNtOtPxotsC","Abrir enlace")</f>
        <v>Abrir enlace</v>
      </c>
      <c r="Q418" s="2" t="s">
        <v>1447</v>
      </c>
      <c r="R418" s="2"/>
      <c r="S418" s="2" t="s">
        <v>91</v>
      </c>
      <c r="T418" s="2" t="s">
        <v>1448</v>
      </c>
      <c r="U418" s="4" t="str">
        <f>HYPERLINK("https://www.ebay.it/itm/395938218465","Abrir enlace")</f>
        <v>Abrir enlace</v>
      </c>
      <c r="V418" s="2" t="s">
        <v>1449</v>
      </c>
      <c r="W418" s="2"/>
      <c r="X418" s="2" t="s">
        <v>91</v>
      </c>
      <c r="Y418" s="2" t="s">
        <v>1235</v>
      </c>
      <c r="Z418" s="4" t="str">
        <f>HYPERLINK("https://www.ebay.com/itm/187506129022","Abrir enlace")</f>
        <v>Abrir enlace</v>
      </c>
      <c r="AA418" s="2"/>
      <c r="AB418" s="2"/>
      <c r="AC418" s="2"/>
      <c r="AD418" s="2"/>
      <c r="AE418" s="2"/>
    </row>
    <row r="419" ht="15.75" customHeight="1">
      <c r="A419" s="2">
        <v>419.0</v>
      </c>
      <c r="B419" s="2" t="s">
        <v>1294</v>
      </c>
      <c r="C419" s="2" t="s">
        <v>144</v>
      </c>
      <c r="D419" s="2" t="s">
        <v>49</v>
      </c>
      <c r="E419" s="2" t="s">
        <v>64</v>
      </c>
      <c r="F419" s="3" t="s">
        <v>35</v>
      </c>
      <c r="G419" s="2"/>
      <c r="H419" s="2" t="s">
        <v>64</v>
      </c>
      <c r="I419" s="2" t="s">
        <v>36</v>
      </c>
      <c r="J419" s="2" t="s">
        <v>37</v>
      </c>
      <c r="K419" s="4" t="str">
        <f>HYPERLINK("https://openlibrary.org/works/OL47151W","Abrir enlace")</f>
        <v>Abrir enlace</v>
      </c>
      <c r="L419" s="2" t="s">
        <v>1295</v>
      </c>
      <c r="M419" s="2"/>
      <c r="N419" s="2" t="s">
        <v>45</v>
      </c>
      <c r="O419" s="2"/>
      <c r="P419" s="4" t="str">
        <f>HYPERLINK("https://openlibrary.org/works/OL47151W","Abrir enlace")</f>
        <v>Abrir enlace</v>
      </c>
      <c r="Q419" s="2"/>
      <c r="R419" s="2"/>
      <c r="S419" s="2"/>
      <c r="T419" s="2"/>
      <c r="U419" s="2"/>
      <c r="V419" s="2"/>
      <c r="W419" s="2"/>
      <c r="X419" s="2"/>
      <c r="Y419" s="2"/>
      <c r="Z419" s="2"/>
      <c r="AA419" s="2" t="s">
        <v>46</v>
      </c>
      <c r="AB419" s="2" t="s">
        <v>67</v>
      </c>
      <c r="AC419" s="2"/>
      <c r="AD419" s="2"/>
      <c r="AE419" s="2"/>
    </row>
    <row r="420" ht="15.75" customHeight="1">
      <c r="A420" s="2">
        <v>420.0</v>
      </c>
      <c r="B420" s="2" t="s">
        <v>1450</v>
      </c>
      <c r="C420" s="2" t="s">
        <v>888</v>
      </c>
      <c r="D420" s="2" t="s">
        <v>33</v>
      </c>
      <c r="E420" s="2" t="s">
        <v>70</v>
      </c>
      <c r="F420" s="3" t="s">
        <v>35</v>
      </c>
      <c r="G420" s="2"/>
      <c r="H420" s="2" t="s">
        <v>70</v>
      </c>
      <c r="I420" s="2" t="s">
        <v>36</v>
      </c>
      <c r="J420" s="2" t="s">
        <v>37</v>
      </c>
      <c r="K420" s="4" t="str">
        <f>HYPERLINK("https://openlibrary.org/works/OL31206298W","Abrir enlace")</f>
        <v>Abrir enlace</v>
      </c>
      <c r="L420" s="2" t="s">
        <v>1451</v>
      </c>
      <c r="M420" s="2"/>
      <c r="N420" s="2" t="s">
        <v>45</v>
      </c>
      <c r="O420" s="2"/>
      <c r="P420" s="4" t="str">
        <f>HYPERLINK("https://openlibrary.org/works/OL31206298W","Abrir enlace")</f>
        <v>Abrir enlace</v>
      </c>
      <c r="Q420" s="2"/>
      <c r="R420" s="2"/>
      <c r="S420" s="2"/>
      <c r="T420" s="2"/>
      <c r="U420" s="2"/>
      <c r="V420" s="2"/>
      <c r="W420" s="2"/>
      <c r="X420" s="2"/>
      <c r="Y420" s="2"/>
      <c r="Z420" s="2"/>
      <c r="AA420" s="2" t="s">
        <v>40</v>
      </c>
      <c r="AB420" s="2" t="s">
        <v>72</v>
      </c>
      <c r="AC420" s="2"/>
      <c r="AD420" s="2"/>
      <c r="AE420" s="2"/>
    </row>
    <row r="421" ht="15.75" customHeight="1">
      <c r="A421" s="2">
        <v>421.0</v>
      </c>
      <c r="B421" s="2" t="s">
        <v>1452</v>
      </c>
      <c r="C421" s="2"/>
      <c r="D421" s="2" t="s">
        <v>165</v>
      </c>
      <c r="E421" s="2" t="s">
        <v>34</v>
      </c>
      <c r="F421" s="3" t="s">
        <v>35</v>
      </c>
      <c r="G421" s="2"/>
      <c r="H421" s="2" t="s">
        <v>34</v>
      </c>
      <c r="I421" s="2" t="s">
        <v>36</v>
      </c>
      <c r="J421" s="2" t="s">
        <v>37</v>
      </c>
      <c r="K421" s="4" t="str">
        <f>HYPERLINK("https://openlibrary.org/works/OL16595107W","Abrir enlace")</f>
        <v>Abrir enlace</v>
      </c>
      <c r="L421" s="2" t="s">
        <v>1453</v>
      </c>
      <c r="M421" s="2"/>
      <c r="N421" s="2" t="s">
        <v>45</v>
      </c>
      <c r="O421" s="2"/>
      <c r="P421" s="4" t="str">
        <f>HYPERLINK("https://openlibrary.org/works/OL16595107W","Abrir enlace")</f>
        <v>Abrir enlace</v>
      </c>
      <c r="Q421" s="2"/>
      <c r="R421" s="2"/>
      <c r="S421" s="2"/>
      <c r="T421" s="2"/>
      <c r="U421" s="2"/>
      <c r="V421" s="2"/>
      <c r="W421" s="2"/>
      <c r="X421" s="2"/>
      <c r="Y421" s="2"/>
      <c r="Z421" s="2"/>
      <c r="AA421" s="2" t="s">
        <v>46</v>
      </c>
      <c r="AB421" s="2" t="s">
        <v>41</v>
      </c>
      <c r="AC421" s="2"/>
      <c r="AD421" s="2"/>
      <c r="AE421" s="2"/>
    </row>
    <row r="422" ht="15.75" customHeight="1">
      <c r="A422" s="2">
        <v>422.0</v>
      </c>
      <c r="B422" s="2" t="s">
        <v>1454</v>
      </c>
      <c r="C422" s="2" t="s">
        <v>1005</v>
      </c>
      <c r="D422" s="2" t="s">
        <v>33</v>
      </c>
      <c r="E422" s="2" t="s">
        <v>112</v>
      </c>
      <c r="F422" s="2" t="s">
        <v>35</v>
      </c>
      <c r="G422" s="2"/>
      <c r="H422" s="2" t="s">
        <v>112</v>
      </c>
      <c r="I422" s="2" t="s">
        <v>36</v>
      </c>
      <c r="J422" s="2" t="s">
        <v>1455</v>
      </c>
      <c r="K422" s="4" t="str">
        <f>HYPERLINK("https://bvpb.mcu.es/en/consulta/registro.do?id=609032","Abrir enlace")</f>
        <v>Abrir enlace</v>
      </c>
      <c r="L422" s="2" t="s">
        <v>1456</v>
      </c>
      <c r="M422" s="2"/>
      <c r="N422" s="2" t="s">
        <v>91</v>
      </c>
      <c r="O422" s="2" t="s">
        <v>1349</v>
      </c>
      <c r="P422" s="4" t="str">
        <f>HYPERLINK("https://bvpb.mcu.es/en/consulta/registro.do?id=609032","Abrir enlace")</f>
        <v>Abrir enlace</v>
      </c>
      <c r="Q422" s="2" t="s">
        <v>1457</v>
      </c>
      <c r="R422" s="2"/>
      <c r="S422" s="2" t="s">
        <v>91</v>
      </c>
      <c r="T422" s="2" t="s">
        <v>1458</v>
      </c>
      <c r="U422" s="4" t="str">
        <f>HYPERLINK("https://www.uniliber.com/ficha/las-flores-de-mayo-flores-de-la-vida-reina-de-las-flores-el-lirio-de-los-valles-estudio-filosofico-teologico-sobre-el-culto-de-la-santisima-virgen-ma"&amp;"ria-en-el-mes-de-mayo_110591495/","Abrir enlace")</f>
        <v>Abrir enlace</v>
      </c>
      <c r="V422" s="2" t="s">
        <v>1459</v>
      </c>
      <c r="W422" s="2"/>
      <c r="X422" s="2" t="s">
        <v>91</v>
      </c>
      <c r="Y422" s="2" t="s">
        <v>1460</v>
      </c>
      <c r="Z422" s="4" t="str">
        <f>HYPERLINK("https://www.buscalibre.com.mx/libro-las-flores-de-la-vida-y-la-reina-de-las-flores-lirio-de-los-valles-estudio-filosofico-teologico-sobre-el-culto-de-la-santisima-virgen-maria-en-e"&amp;"l-mes-de-mayo-lirio-de-los-valles/2371992/p/2371992","Abrir enlace")</f>
        <v>Abrir enlace</v>
      </c>
      <c r="AA422" s="2"/>
      <c r="AB422" s="2"/>
      <c r="AC422" s="2"/>
      <c r="AD422" s="2"/>
      <c r="AE422" s="2"/>
    </row>
    <row r="423" ht="15.75" customHeight="1">
      <c r="A423" s="2">
        <v>423.0</v>
      </c>
      <c r="B423" s="2" t="s">
        <v>1461</v>
      </c>
      <c r="C423" s="2" t="s">
        <v>1462</v>
      </c>
      <c r="D423" s="2" t="s">
        <v>33</v>
      </c>
      <c r="E423" s="2" t="s">
        <v>34</v>
      </c>
      <c r="F423" s="3" t="s">
        <v>35</v>
      </c>
      <c r="G423" s="2"/>
      <c r="H423" s="2" t="s">
        <v>34</v>
      </c>
      <c r="I423" s="2" t="s">
        <v>36</v>
      </c>
      <c r="J423" s="2" t="s">
        <v>37</v>
      </c>
      <c r="K423" s="4" t="str">
        <f>HYPERLINK("https://archive.org/details/mythologyancien03keiggoog","Abrir enlace")</f>
        <v>Abrir enlace</v>
      </c>
      <c r="L423" s="2" t="s">
        <v>1463</v>
      </c>
      <c r="M423" s="2"/>
      <c r="N423" s="2" t="s">
        <v>54</v>
      </c>
      <c r="O423" s="2"/>
      <c r="P423" s="4" t="str">
        <f>HYPERLINK("https://archive.org/details/mythologyancien03keiggoog","Abrir enlace")</f>
        <v>Abrir enlace</v>
      </c>
      <c r="Q423" s="2"/>
      <c r="R423" s="2"/>
      <c r="S423" s="2"/>
      <c r="T423" s="2"/>
      <c r="U423" s="2"/>
      <c r="V423" s="2"/>
      <c r="W423" s="2"/>
      <c r="X423" s="2"/>
      <c r="Y423" s="2"/>
      <c r="Z423" s="2"/>
      <c r="AA423" s="2" t="s">
        <v>66</v>
      </c>
      <c r="AB423" s="2" t="s">
        <v>41</v>
      </c>
      <c r="AC423" s="2"/>
      <c r="AD423" s="2"/>
      <c r="AE423" s="2"/>
    </row>
    <row r="424" ht="15.75" customHeight="1">
      <c r="A424" s="2">
        <v>424.0</v>
      </c>
      <c r="B424" s="2" t="s">
        <v>1464</v>
      </c>
      <c r="C424" s="2" t="s">
        <v>1465</v>
      </c>
      <c r="D424" s="2" t="s">
        <v>33</v>
      </c>
      <c r="E424" s="2" t="s">
        <v>70</v>
      </c>
      <c r="F424" s="3" t="s">
        <v>35</v>
      </c>
      <c r="G424" s="2"/>
      <c r="H424" s="2" t="s">
        <v>70</v>
      </c>
      <c r="I424" s="2" t="s">
        <v>168</v>
      </c>
      <c r="J424" s="2" t="s">
        <v>1466</v>
      </c>
      <c r="K424" s="4" t="str">
        <f t="shared" ref="K424:K425" si="39">HYPERLINK("https://openlibrary.org/works/OL38744753W","Abrir enlace")</f>
        <v>Abrir enlace</v>
      </c>
      <c r="L424" s="2" t="s">
        <v>1464</v>
      </c>
      <c r="M424" s="2"/>
      <c r="N424" s="2" t="s">
        <v>45</v>
      </c>
      <c r="O424" s="2"/>
      <c r="P424" s="4" t="str">
        <f t="shared" ref="P424:P425" si="40">HYPERLINK("https://openlibrary.org/works/OL38744753W","Abrir enlace")</f>
        <v>Abrir enlace</v>
      </c>
      <c r="Q424" s="2"/>
      <c r="R424" s="2"/>
      <c r="S424" s="2"/>
      <c r="T424" s="2"/>
      <c r="U424" s="2"/>
      <c r="V424" s="2"/>
      <c r="W424" s="2"/>
      <c r="X424" s="2"/>
      <c r="Y424" s="2"/>
      <c r="Z424" s="2"/>
      <c r="AA424" s="2" t="s">
        <v>60</v>
      </c>
      <c r="AB424" s="2" t="s">
        <v>1467</v>
      </c>
      <c r="AC424" s="2"/>
      <c r="AD424" s="2"/>
      <c r="AE424" s="2"/>
    </row>
    <row r="425" ht="15.75" customHeight="1">
      <c r="A425" s="2">
        <v>425.0</v>
      </c>
      <c r="B425" s="2" t="s">
        <v>1464</v>
      </c>
      <c r="C425" s="2" t="s">
        <v>1465</v>
      </c>
      <c r="D425" s="2" t="s">
        <v>33</v>
      </c>
      <c r="E425" s="2" t="s">
        <v>70</v>
      </c>
      <c r="F425" s="3" t="s">
        <v>35</v>
      </c>
      <c r="G425" s="2"/>
      <c r="H425" s="2" t="s">
        <v>70</v>
      </c>
      <c r="I425" s="2" t="s">
        <v>36</v>
      </c>
      <c r="J425" s="2" t="s">
        <v>37</v>
      </c>
      <c r="K425" s="4" t="str">
        <f t="shared" si="39"/>
        <v>Abrir enlace</v>
      </c>
      <c r="L425" s="2" t="s">
        <v>1464</v>
      </c>
      <c r="M425" s="2"/>
      <c r="N425" s="2" t="s">
        <v>45</v>
      </c>
      <c r="O425" s="2"/>
      <c r="P425" s="4" t="str">
        <f t="shared" si="40"/>
        <v>Abrir enlace</v>
      </c>
      <c r="Q425" s="2"/>
      <c r="R425" s="2"/>
      <c r="S425" s="2"/>
      <c r="T425" s="2"/>
      <c r="U425" s="2"/>
      <c r="V425" s="2"/>
      <c r="W425" s="2"/>
      <c r="X425" s="2"/>
      <c r="Y425" s="2"/>
      <c r="Z425" s="2"/>
      <c r="AA425" s="2" t="s">
        <v>60</v>
      </c>
      <c r="AB425" s="2" t="s">
        <v>41</v>
      </c>
      <c r="AC425" s="2"/>
      <c r="AD425" s="2"/>
      <c r="AE425" s="2"/>
    </row>
    <row r="426" ht="15.75" customHeight="1">
      <c r="A426" s="2">
        <v>426.0</v>
      </c>
      <c r="B426" s="2" t="s">
        <v>1378</v>
      </c>
      <c r="C426" s="2" t="s">
        <v>1131</v>
      </c>
      <c r="D426" s="2" t="s">
        <v>33</v>
      </c>
      <c r="E426" s="2" t="s">
        <v>34</v>
      </c>
      <c r="F426" s="2" t="s">
        <v>174</v>
      </c>
      <c r="G426" s="2" t="s">
        <v>1468</v>
      </c>
      <c r="H426" s="2" t="s">
        <v>112</v>
      </c>
      <c r="I426" s="2" t="s">
        <v>36</v>
      </c>
      <c r="J426" s="2" t="s">
        <v>37</v>
      </c>
      <c r="K426" s="4" t="str">
        <f>HYPERLINK("https://archive.org/details/clavehistorialc00huidgoog","Abrir enlace")</f>
        <v>Abrir enlace</v>
      </c>
      <c r="L426" s="2" t="s">
        <v>1380</v>
      </c>
      <c r="M426" s="2"/>
      <c r="N426" s="2" t="s">
        <v>54</v>
      </c>
      <c r="O426" s="2"/>
      <c r="P426" s="4" t="str">
        <f>HYPERLINK("https://archive.org/details/clavehistorialc00huidgoog","Abrir enlace")</f>
        <v>Abrir enlace</v>
      </c>
      <c r="Q426" s="2"/>
      <c r="R426" s="2"/>
      <c r="S426" s="2"/>
      <c r="T426" s="2"/>
      <c r="U426" s="2"/>
      <c r="V426" s="2"/>
      <c r="W426" s="2"/>
      <c r="X426" s="2"/>
      <c r="Y426" s="2"/>
      <c r="Z426" s="2"/>
      <c r="AA426" s="2" t="s">
        <v>46</v>
      </c>
      <c r="AB426" s="2" t="s">
        <v>114</v>
      </c>
      <c r="AC426" s="2" t="s">
        <v>1468</v>
      </c>
      <c r="AD426" s="2"/>
      <c r="AE426" s="2"/>
    </row>
    <row r="427" ht="15.75" customHeight="1">
      <c r="A427" s="2">
        <v>427.0</v>
      </c>
      <c r="B427" s="2" t="s">
        <v>1469</v>
      </c>
      <c r="C427" s="2" t="s">
        <v>1470</v>
      </c>
      <c r="D427" s="2" t="s">
        <v>33</v>
      </c>
      <c r="E427" s="2" t="s">
        <v>64</v>
      </c>
      <c r="F427" s="2" t="s">
        <v>35</v>
      </c>
      <c r="G427" s="2"/>
      <c r="H427" s="2" t="s">
        <v>64</v>
      </c>
      <c r="I427" s="2" t="s">
        <v>168</v>
      </c>
      <c r="J427" s="2" t="s">
        <v>1471</v>
      </c>
      <c r="K427" s="4" t="str">
        <f>HYPERLINK("https://biblioteca.galiciana.gal/es/consulta/registro.do?id=366534","Abrir enlace")</f>
        <v>Abrir enlace</v>
      </c>
      <c r="L427" s="2" t="s">
        <v>1472</v>
      </c>
      <c r="M427" s="2"/>
      <c r="N427" s="2" t="s">
        <v>91</v>
      </c>
      <c r="O427" s="2" t="s">
        <v>735</v>
      </c>
      <c r="P427" s="4" t="str">
        <f>HYPERLINK("https://biblioteca.galiciana.gal/es/consulta/registro.do?id=366534","Abrir enlace")</f>
        <v>Abrir enlace</v>
      </c>
      <c r="Q427" s="2" t="s">
        <v>1473</v>
      </c>
      <c r="R427" s="2"/>
      <c r="S427" s="2" t="s">
        <v>91</v>
      </c>
      <c r="T427" s="2" t="s">
        <v>1287</v>
      </c>
      <c r="U427" s="4" t="str">
        <f>HYPERLINK("https://es.scribd.com/document/468946830/Bonifacio-Sotos-Ochando-Traduccion-Del-Frances-Sin-Maestro-o-El-Incredulo-Conducido-a-La-Fe-Por-La-Razon-1835","Abrir enlace")</f>
        <v>Abrir enlace</v>
      </c>
      <c r="V427" s="2" t="s">
        <v>1474</v>
      </c>
      <c r="W427" s="2"/>
      <c r="X427" s="2" t="s">
        <v>91</v>
      </c>
      <c r="Y427" s="2" t="s">
        <v>1475</v>
      </c>
      <c r="Z427" s="4" t="str">
        <f>HYPERLINK("https://www.iberlibro.com/buscar-libro/titulo/traduccion-franes-maestro-incredulo-conducido/autor/sotos-bonifacio/","Abrir enlace")</f>
        <v>Abrir enlace</v>
      </c>
      <c r="AA427" s="2"/>
      <c r="AB427" s="2"/>
      <c r="AC427" s="2"/>
      <c r="AD427" s="2"/>
      <c r="AE427" s="2"/>
    </row>
    <row r="428" ht="15.75" customHeight="1">
      <c r="A428" s="2">
        <v>428.0</v>
      </c>
      <c r="B428" s="2" t="s">
        <v>1476</v>
      </c>
      <c r="C428" s="2"/>
      <c r="D428" s="2" t="s">
        <v>165</v>
      </c>
      <c r="E428" s="2" t="s">
        <v>64</v>
      </c>
      <c r="F428" s="2" t="s">
        <v>35</v>
      </c>
      <c r="G428" s="2"/>
      <c r="H428" s="2" t="s">
        <v>64</v>
      </c>
      <c r="I428" s="2" t="s">
        <v>36</v>
      </c>
      <c r="J428" s="2" t="s">
        <v>1477</v>
      </c>
      <c r="K428" s="4" t="str">
        <f>HYPERLINK("https://books.google.com/books/about/Illustrium_poetarum_flores.html?id=G3-hF72uoBAC","Abrir enlace")</f>
        <v>Abrir enlace</v>
      </c>
      <c r="L428" s="2" t="s">
        <v>1478</v>
      </c>
      <c r="M428" s="2"/>
      <c r="N428" s="2" t="s">
        <v>91</v>
      </c>
      <c r="O428" s="2" t="s">
        <v>1479</v>
      </c>
      <c r="P428" s="4" t="str">
        <f>HYPERLINK("https://books.google.com/books/about/Illustrium_poetarum_flores.html?id=G3-hF72uoBAC","Abrir enlace")</f>
        <v>Abrir enlace</v>
      </c>
      <c r="Q428" s="2" t="s">
        <v>1480</v>
      </c>
      <c r="R428" s="2"/>
      <c r="S428" s="2" t="s">
        <v>91</v>
      </c>
      <c r="T428" s="2" t="s">
        <v>1481</v>
      </c>
      <c r="U428" s="4" t="str">
        <f>HYPERLINK("https://www.cervantesvirtual.com/obra/illustrium-poetarum-flores/","Abrir enlace")</f>
        <v>Abrir enlace</v>
      </c>
      <c r="V428" s="2" t="s">
        <v>1482</v>
      </c>
      <c r="W428" s="2"/>
      <c r="X428" s="2" t="s">
        <v>91</v>
      </c>
      <c r="Y428" s="2" t="s">
        <v>1483</v>
      </c>
      <c r="Z428" s="4" t="str">
        <f>HYPERLINK("https://openlibrary.org/books/OL15188117M/Illustrium_poetarum_flores","Abrir enlace")</f>
        <v>Abrir enlace</v>
      </c>
      <c r="AA428" s="2"/>
      <c r="AB428" s="2"/>
      <c r="AC428" s="2"/>
      <c r="AD428" s="2"/>
      <c r="AE428" s="2"/>
    </row>
    <row r="429" ht="15.75" customHeight="1">
      <c r="A429" s="2">
        <v>429.0</v>
      </c>
      <c r="B429" s="2" t="s">
        <v>1484</v>
      </c>
      <c r="C429" s="2" t="s">
        <v>1485</v>
      </c>
      <c r="D429" s="2" t="s">
        <v>33</v>
      </c>
      <c r="E429" s="2" t="s">
        <v>64</v>
      </c>
      <c r="F429" s="3" t="s">
        <v>35</v>
      </c>
      <c r="G429" s="2"/>
      <c r="H429" s="2" t="s">
        <v>64</v>
      </c>
      <c r="I429" s="2" t="s">
        <v>36</v>
      </c>
      <c r="J429" s="2" t="s">
        <v>37</v>
      </c>
      <c r="K429" s="4" t="str">
        <f>HYPERLINK("https://openlibrary.org/works/OL12371284W","Abrir enlace")</f>
        <v>Abrir enlace</v>
      </c>
      <c r="L429" s="2" t="s">
        <v>1484</v>
      </c>
      <c r="M429" s="2"/>
      <c r="N429" s="2" t="s">
        <v>45</v>
      </c>
      <c r="O429" s="2"/>
      <c r="P429" s="4" t="str">
        <f>HYPERLINK("https://openlibrary.org/works/OL12371284W","Abrir enlace")</f>
        <v>Abrir enlace</v>
      </c>
      <c r="Q429" s="2"/>
      <c r="R429" s="2"/>
      <c r="S429" s="2"/>
      <c r="T429" s="2"/>
      <c r="U429" s="2"/>
      <c r="V429" s="2"/>
      <c r="W429" s="2"/>
      <c r="X429" s="2"/>
      <c r="Y429" s="2"/>
      <c r="Z429" s="2"/>
      <c r="AA429" s="2" t="s">
        <v>46</v>
      </c>
      <c r="AB429" s="2" t="s">
        <v>67</v>
      </c>
      <c r="AC429" s="2"/>
      <c r="AD429" s="2"/>
      <c r="AE429" s="2"/>
    </row>
    <row r="430" ht="15.75" customHeight="1">
      <c r="A430" s="2">
        <v>430.0</v>
      </c>
      <c r="B430" s="2" t="s">
        <v>1486</v>
      </c>
      <c r="C430" s="2" t="s">
        <v>1487</v>
      </c>
      <c r="D430" s="2" t="s">
        <v>33</v>
      </c>
      <c r="E430" s="2" t="s">
        <v>34</v>
      </c>
      <c r="F430" s="2" t="s">
        <v>35</v>
      </c>
      <c r="G430" s="2"/>
      <c r="H430" s="2" t="s">
        <v>34</v>
      </c>
      <c r="I430" s="2" t="s">
        <v>36</v>
      </c>
      <c r="J430" s="2" t="s">
        <v>1488</v>
      </c>
      <c r="K430" s="4" t="str">
        <f>HYPERLINK("https://books.google.com/books/about/Velleio_Patercolo_Istoria_romana.html?id=VDjIX6q-gB8C","Abrir enlace")</f>
        <v>Abrir enlace</v>
      </c>
      <c r="L430" s="2" t="s">
        <v>1489</v>
      </c>
      <c r="M430" s="2"/>
      <c r="N430" s="2" t="s">
        <v>91</v>
      </c>
      <c r="O430" s="2" t="s">
        <v>1490</v>
      </c>
      <c r="P430" s="4" t="str">
        <f>HYPERLINK("https://books.google.com/books/about/Velleio_Patercolo_Istoria_romana.html?id=VDjIX6q-gB8C","Abrir enlace")</f>
        <v>Abrir enlace</v>
      </c>
      <c r="Q430" s="2" t="s">
        <v>1491</v>
      </c>
      <c r="R430" s="2"/>
      <c r="S430" s="2" t="s">
        <v>91</v>
      </c>
      <c r="T430" s="2" t="s">
        <v>1492</v>
      </c>
      <c r="U430" s="4" t="str">
        <f>HYPERLINK("https://archive.org/details/bub_gb_0Rvph_-drpcC","Abrir enlace")</f>
        <v>Abrir enlace</v>
      </c>
      <c r="V430" s="2" t="s">
        <v>1493</v>
      </c>
      <c r="W430" s="2"/>
      <c r="X430" s="2" t="s">
        <v>91</v>
      </c>
      <c r="Y430" s="2" t="s">
        <v>1494</v>
      </c>
      <c r="Z430" s="4" t="str">
        <f>HYPERLINK("https://archive.org/details/bub_gb_mHQq-c5JmT8C","Abrir enlace")</f>
        <v>Abrir enlace</v>
      </c>
      <c r="AA430" s="2"/>
      <c r="AB430" s="2"/>
      <c r="AC430" s="2"/>
      <c r="AD430" s="2"/>
      <c r="AE430" s="2"/>
    </row>
    <row r="431" ht="15.75" customHeight="1">
      <c r="A431" s="2">
        <v>431.0</v>
      </c>
      <c r="B431" s="2" t="s">
        <v>1495</v>
      </c>
      <c r="C431" s="2" t="s">
        <v>1496</v>
      </c>
      <c r="D431" s="2" t="s">
        <v>33</v>
      </c>
      <c r="E431" s="2" t="s">
        <v>34</v>
      </c>
      <c r="F431" s="2" t="s">
        <v>35</v>
      </c>
      <c r="G431" s="2"/>
      <c r="H431" s="2" t="s">
        <v>34</v>
      </c>
      <c r="I431" s="2" t="s">
        <v>36</v>
      </c>
      <c r="J431" s="2" t="s">
        <v>1497</v>
      </c>
      <c r="K431" s="4" t="str">
        <f>HYPERLINK("https://books.google.com/books/about/Epitome_Rerum_Romanarum.html?id=B2Mm0AEACAAJ","Abrir enlace")</f>
        <v>Abrir enlace</v>
      </c>
      <c r="L431" s="2" t="s">
        <v>1498</v>
      </c>
      <c r="M431" s="2"/>
      <c r="N431" s="2" t="s">
        <v>91</v>
      </c>
      <c r="O431" s="2" t="s">
        <v>1499</v>
      </c>
      <c r="P431" s="4" t="str">
        <f>HYPERLINK("https://books.google.com/books/about/Epitome_Rerum_Romanarum.html?id=B2Mm0AEACAAJ","Abrir enlace")</f>
        <v>Abrir enlace</v>
      </c>
      <c r="Q431" s="2" t="s">
        <v>1500</v>
      </c>
      <c r="R431" s="2"/>
      <c r="S431" s="2" t="s">
        <v>91</v>
      </c>
      <c r="T431" s="2" t="s">
        <v>1501</v>
      </c>
      <c r="U431" s="4" t="str">
        <f>HYPERLINK("https://books.google.com/books/about/Compendio_di_storia_romana_di_Lucio_Anne.html?id=wjbH5ylNotoC","Abrir enlace")</f>
        <v>Abrir enlace</v>
      </c>
      <c r="V431" s="2" t="s">
        <v>1502</v>
      </c>
      <c r="W431" s="2"/>
      <c r="X431" s="2" t="s">
        <v>91</v>
      </c>
      <c r="Y431" s="2" t="s">
        <v>1503</v>
      </c>
      <c r="Z431" s="4" t="str">
        <f>HYPERLINK("https://annas-archive.is/de/books/42617968-storia-romana-di-lucio-anneo-floro-in-epitome","Abrir enlace")</f>
        <v>Abrir enlace</v>
      </c>
      <c r="AA431" s="2"/>
      <c r="AB431" s="2"/>
      <c r="AC431" s="2"/>
      <c r="AD431" s="2"/>
      <c r="AE431" s="2"/>
    </row>
    <row r="432" ht="15.75" customHeight="1">
      <c r="A432" s="2">
        <v>432.0</v>
      </c>
      <c r="B432" s="2" t="s">
        <v>1504</v>
      </c>
      <c r="C432" s="2" t="s">
        <v>1249</v>
      </c>
      <c r="D432" s="2" t="s">
        <v>33</v>
      </c>
      <c r="E432" s="2" t="s">
        <v>64</v>
      </c>
      <c r="F432" s="2" t="s">
        <v>35</v>
      </c>
      <c r="G432" s="2"/>
      <c r="H432" s="2" t="s">
        <v>64</v>
      </c>
      <c r="I432" s="2" t="s">
        <v>36</v>
      </c>
      <c r="J432" s="2" t="s">
        <v>1505</v>
      </c>
      <c r="K432" s="4" t="str">
        <f>HYPERLINK("https://es.scribd.com/document/183964599/Ciceron-Marco-Tulio-Particiones-Oratorias-Bilingue","Abrir enlace")</f>
        <v>Abrir enlace</v>
      </c>
      <c r="L432" s="2" t="s">
        <v>1506</v>
      </c>
      <c r="M432" s="2"/>
      <c r="N432" s="2" t="s">
        <v>91</v>
      </c>
      <c r="O432" s="2" t="s">
        <v>804</v>
      </c>
      <c r="P432" s="4" t="str">
        <f>HYPERLINK("https://es.scribd.com/document/183964599/Ciceron-Marco-Tulio-Particiones-Oratorias-Bilingue","Abrir enlace")</f>
        <v>Abrir enlace</v>
      </c>
      <c r="Q432" s="2" t="s">
        <v>1507</v>
      </c>
      <c r="R432" s="2"/>
      <c r="S432" s="2" t="s">
        <v>91</v>
      </c>
      <c r="T432" s="2" t="s">
        <v>1503</v>
      </c>
      <c r="U432" s="4" t="str">
        <f>HYPERLINK("https://archive.org/details/ciceron-marco-tulio.-la-invencion-retorica-g-1997pdf","Abrir enlace")</f>
        <v>Abrir enlace</v>
      </c>
      <c r="V432" s="2" t="s">
        <v>1508</v>
      </c>
      <c r="W432" s="2"/>
      <c r="X432" s="2" t="s">
        <v>91</v>
      </c>
      <c r="Y432" s="2" t="s">
        <v>1509</v>
      </c>
      <c r="Z432" s="4" t="str">
        <f>HYPERLINK("https://www.scribd.com/doc/249788267/MARCO-TULIO-CICERON-RETORICA-pdf","Abrir enlace")</f>
        <v>Abrir enlace</v>
      </c>
      <c r="AA432" s="2"/>
      <c r="AB432" s="2"/>
      <c r="AC432" s="2"/>
      <c r="AD432" s="2"/>
      <c r="AE432" s="2"/>
    </row>
    <row r="433" ht="15.75" customHeight="1">
      <c r="A433" s="2">
        <v>433.0</v>
      </c>
      <c r="B433" s="2" t="s">
        <v>1510</v>
      </c>
      <c r="C433" s="2" t="s">
        <v>1511</v>
      </c>
      <c r="D433" s="2" t="s">
        <v>33</v>
      </c>
      <c r="E433" s="2" t="s">
        <v>64</v>
      </c>
      <c r="F433" s="2" t="s">
        <v>35</v>
      </c>
      <c r="G433" s="2"/>
      <c r="H433" s="2" t="s">
        <v>64</v>
      </c>
      <c r="I433" s="2" t="s">
        <v>36</v>
      </c>
      <c r="J433" s="2" t="s">
        <v>1512</v>
      </c>
      <c r="K433" s="4" t="str">
        <f>HYPERLINK("https://books.google.com/books/about/De_praecipuis_Graecae_dictionis_idiotism.html?id=bAFSbHcxCxQC","Abrir enlace")</f>
        <v>Abrir enlace</v>
      </c>
      <c r="L433" s="2" t="s">
        <v>1513</v>
      </c>
      <c r="M433" s="2"/>
      <c r="N433" s="2" t="s">
        <v>91</v>
      </c>
      <c r="O433" s="2" t="s">
        <v>1514</v>
      </c>
      <c r="P433" s="4" t="str">
        <f>HYPERLINK("https://books.google.com/books/about/De_praecipuis_Graecae_dictionis_idiotism.html?id=bAFSbHcxCxQC","Abrir enlace")</f>
        <v>Abrir enlace</v>
      </c>
      <c r="Q433" s="2" t="s">
        <v>1515</v>
      </c>
      <c r="R433" s="2"/>
      <c r="S433" s="2" t="s">
        <v>91</v>
      </c>
      <c r="T433" s="2" t="s">
        <v>1073</v>
      </c>
      <c r="U433" s="4" t="str">
        <f>HYPERLINK("https://catalogue.nla.gov.au/catalog/857082","Abrir enlace")</f>
        <v>Abrir enlace</v>
      </c>
      <c r="V433" s="2" t="s">
        <v>1516</v>
      </c>
      <c r="W433" s="2"/>
      <c r="X433" s="2" t="s">
        <v>91</v>
      </c>
      <c r="Y433" s="2" t="s">
        <v>1517</v>
      </c>
      <c r="Z433" s="4" t="str">
        <f>HYPERLINK("https://books.google.com/books/about/Francisci_Vigeri_De_Praecipuis_Graecae_D.html?id=rVEgjwEACAAJ","Abrir enlace")</f>
        <v>Abrir enlace</v>
      </c>
      <c r="AA433" s="2"/>
      <c r="AB433" s="2"/>
      <c r="AC433" s="2"/>
      <c r="AD433" s="2"/>
      <c r="AE433" s="2"/>
    </row>
    <row r="434" ht="15.75" customHeight="1">
      <c r="A434" s="2">
        <v>434.0</v>
      </c>
      <c r="B434" s="2" t="s">
        <v>1518</v>
      </c>
      <c r="C434" s="2" t="s">
        <v>263</v>
      </c>
      <c r="D434" s="2" t="s">
        <v>33</v>
      </c>
      <c r="E434" s="2" t="s">
        <v>34</v>
      </c>
      <c r="F434" s="2" t="s">
        <v>35</v>
      </c>
      <c r="G434" s="2"/>
      <c r="H434" s="2" t="s">
        <v>34</v>
      </c>
      <c r="I434" s="2" t="s">
        <v>36</v>
      </c>
      <c r="J434" s="2" t="s">
        <v>1519</v>
      </c>
      <c r="K434" s="4" t="str">
        <f>HYPERLINK("https://archive.org/details/bub_gb_lPtKPfFLiNsC","Abrir enlace")</f>
        <v>Abrir enlace</v>
      </c>
      <c r="L434" s="2" t="s">
        <v>1520</v>
      </c>
      <c r="M434" s="2"/>
      <c r="N434" s="2" t="s">
        <v>91</v>
      </c>
      <c r="O434" s="2" t="s">
        <v>92</v>
      </c>
      <c r="P434" s="4" t="str">
        <f>HYPERLINK("https://archive.org/details/bub_gb_lPtKPfFLiNsC","Abrir enlace")</f>
        <v>Abrir enlace</v>
      </c>
      <c r="Q434" s="2" t="s">
        <v>1521</v>
      </c>
      <c r="R434" s="2"/>
      <c r="S434" s="2" t="s">
        <v>54</v>
      </c>
      <c r="T434" s="2" t="s">
        <v>1522</v>
      </c>
      <c r="U434" s="4" t="str">
        <f>HYPERLINK("https://archive.org/details/testcritiquesvol0007unse_w5k2","Abrir enlace")</f>
        <v>Abrir enlace</v>
      </c>
      <c r="V434" s="2" t="s">
        <v>1523</v>
      </c>
      <c r="W434" s="2"/>
      <c r="X434" s="2" t="s">
        <v>54</v>
      </c>
      <c r="Y434" s="2" t="s">
        <v>1524</v>
      </c>
      <c r="Z434" s="4" t="str">
        <f>HYPERLINK("https://archive.org/details/discours27310000unse","Abrir enlace")</f>
        <v>Abrir enlace</v>
      </c>
      <c r="AA434" s="2"/>
      <c r="AB434" s="2"/>
      <c r="AC434" s="2"/>
      <c r="AD434" s="2"/>
      <c r="AE434" s="2"/>
    </row>
    <row r="435" ht="15.75" customHeight="1">
      <c r="A435" s="2">
        <v>435.0</v>
      </c>
      <c r="B435" s="2" t="s">
        <v>1525</v>
      </c>
      <c r="C435" s="2" t="s">
        <v>1526</v>
      </c>
      <c r="D435" s="2" t="s">
        <v>33</v>
      </c>
      <c r="E435" s="2" t="s">
        <v>64</v>
      </c>
      <c r="F435" s="3" t="s">
        <v>35</v>
      </c>
      <c r="G435" s="2"/>
      <c r="H435" s="2" t="s">
        <v>64</v>
      </c>
      <c r="I435" s="2" t="s">
        <v>36</v>
      </c>
      <c r="J435" s="2" t="s">
        <v>37</v>
      </c>
      <c r="K435" s="4" t="str">
        <f>HYPERLINK("https://archive.org/details/lasmetamorfsisd00apulgoog","Abrir enlace")</f>
        <v>Abrir enlace</v>
      </c>
      <c r="L435" s="2" t="s">
        <v>1527</v>
      </c>
      <c r="M435" s="2"/>
      <c r="N435" s="2" t="s">
        <v>54</v>
      </c>
      <c r="O435" s="2"/>
      <c r="P435" s="4" t="str">
        <f>HYPERLINK("https://archive.org/details/lasmetamorfsisd00apulgoog","Abrir enlace")</f>
        <v>Abrir enlace</v>
      </c>
      <c r="Q435" s="2"/>
      <c r="R435" s="2"/>
      <c r="S435" s="2"/>
      <c r="T435" s="2"/>
      <c r="U435" s="2"/>
      <c r="V435" s="2"/>
      <c r="W435" s="2"/>
      <c r="X435" s="2"/>
      <c r="Y435" s="2"/>
      <c r="Z435" s="2"/>
      <c r="AA435" s="2" t="s">
        <v>51</v>
      </c>
      <c r="AB435" s="2" t="s">
        <v>67</v>
      </c>
      <c r="AC435" s="2"/>
      <c r="AD435" s="2"/>
      <c r="AE435" s="2"/>
    </row>
    <row r="436" ht="15.75" customHeight="1">
      <c r="A436" s="2">
        <v>436.0</v>
      </c>
      <c r="B436" s="2" t="s">
        <v>1528</v>
      </c>
      <c r="C436" s="2" t="s">
        <v>1529</v>
      </c>
      <c r="D436" s="2" t="s">
        <v>33</v>
      </c>
      <c r="E436" s="2" t="s">
        <v>64</v>
      </c>
      <c r="F436" s="3" t="s">
        <v>35</v>
      </c>
      <c r="G436" s="2"/>
      <c r="H436" s="2" t="s">
        <v>64</v>
      </c>
      <c r="I436" s="2" t="s">
        <v>36</v>
      </c>
      <c r="J436" s="2" t="s">
        <v>37</v>
      </c>
      <c r="K436" s="4" t="str">
        <f>HYPERLINK("https://openlibrary.org/works/OL4845675W","Abrir enlace")</f>
        <v>Abrir enlace</v>
      </c>
      <c r="L436" s="2" t="s">
        <v>1530</v>
      </c>
      <c r="M436" s="2"/>
      <c r="N436" s="2" t="s">
        <v>45</v>
      </c>
      <c r="O436" s="2"/>
      <c r="P436" s="4" t="str">
        <f>HYPERLINK("https://openlibrary.org/works/OL4845675W","Abrir enlace")</f>
        <v>Abrir enlace</v>
      </c>
      <c r="Q436" s="2"/>
      <c r="R436" s="2"/>
      <c r="S436" s="2"/>
      <c r="T436" s="2"/>
      <c r="U436" s="2"/>
      <c r="V436" s="2"/>
      <c r="W436" s="2"/>
      <c r="X436" s="2"/>
      <c r="Y436" s="2"/>
      <c r="Z436" s="2"/>
      <c r="AA436" s="2" t="s">
        <v>51</v>
      </c>
      <c r="AB436" s="2" t="s">
        <v>67</v>
      </c>
      <c r="AC436" s="2"/>
      <c r="AD436" s="2"/>
      <c r="AE436" s="2"/>
    </row>
    <row r="437" ht="15.75" customHeight="1">
      <c r="A437" s="2">
        <v>437.0</v>
      </c>
      <c r="B437" s="2" t="s">
        <v>1531</v>
      </c>
      <c r="C437" s="2" t="s">
        <v>1532</v>
      </c>
      <c r="D437" s="2" t="s">
        <v>49</v>
      </c>
      <c r="E437" s="2" t="s">
        <v>64</v>
      </c>
      <c r="F437" s="2" t="s">
        <v>35</v>
      </c>
      <c r="G437" s="2"/>
      <c r="H437" s="2" t="s">
        <v>64</v>
      </c>
      <c r="I437" s="2" t="s">
        <v>36</v>
      </c>
      <c r="J437" s="2" t="s">
        <v>1106</v>
      </c>
      <c r="K437" s="4" t="str">
        <f>HYPERLINK("https://gallica.bnf.fr/ark:/12148/bpt6k6348091b/texteBrut","Abrir enlace")</f>
        <v>Abrir enlace</v>
      </c>
      <c r="L437" s="2" t="s">
        <v>1533</v>
      </c>
      <c r="M437" s="2"/>
      <c r="N437" s="2" t="s">
        <v>91</v>
      </c>
      <c r="O437" s="2" t="s">
        <v>1534</v>
      </c>
      <c r="P437" s="4" t="str">
        <f>HYPERLINK("https://gallica.bnf.fr/ark:/12148/bpt6k6348091b/texteBrut","Abrir enlace")</f>
        <v>Abrir enlace</v>
      </c>
      <c r="Q437" s="2" t="s">
        <v>1535</v>
      </c>
      <c r="R437" s="2" t="s">
        <v>1536</v>
      </c>
      <c r="S437" s="2" t="s">
        <v>54</v>
      </c>
      <c r="T437" s="2" t="s">
        <v>1537</v>
      </c>
      <c r="U437" s="4" t="str">
        <f>HYPERLINK("https://archive.org/details/lalitteraturefra0000soeu","Abrir enlace")</f>
        <v>Abrir enlace</v>
      </c>
      <c r="V437" s="2" t="s">
        <v>1538</v>
      </c>
      <c r="W437" s="2" t="s">
        <v>1539</v>
      </c>
      <c r="X437" s="2" t="s">
        <v>54</v>
      </c>
      <c r="Y437" s="2" t="s">
        <v>1540</v>
      </c>
      <c r="Z437" s="4" t="str">
        <f>HYPERLINK("https://archive.org/details/bwb_S0-CAO-230","Abrir enlace")</f>
        <v>Abrir enlace</v>
      </c>
      <c r="AA437" s="2"/>
      <c r="AB437" s="2"/>
      <c r="AC437" s="2"/>
      <c r="AD437" s="2"/>
      <c r="AE437" s="2"/>
    </row>
    <row r="438" ht="15.75" customHeight="1">
      <c r="A438" s="2">
        <v>438.0</v>
      </c>
      <c r="B438" s="2" t="s">
        <v>1541</v>
      </c>
      <c r="C438" s="2"/>
      <c r="D438" s="2" t="s">
        <v>165</v>
      </c>
      <c r="E438" s="2" t="s">
        <v>70</v>
      </c>
      <c r="F438" s="3" t="s">
        <v>35</v>
      </c>
      <c r="G438" s="2"/>
      <c r="H438" s="2" t="s">
        <v>70</v>
      </c>
      <c r="I438" s="2" t="s">
        <v>36</v>
      </c>
      <c r="J438" s="2" t="s">
        <v>1542</v>
      </c>
      <c r="K438" s="4" t="str">
        <f t="shared" ref="K438:K446" si="41">HYPERLINK("https://archive.org/details/b30454888_0007","Abrir enlace")</f>
        <v>Abrir enlace</v>
      </c>
      <c r="L438" s="2" t="s">
        <v>1543</v>
      </c>
      <c r="M438" s="2"/>
      <c r="N438" s="2" t="s">
        <v>54</v>
      </c>
      <c r="O438" s="2"/>
      <c r="P438" s="4" t="str">
        <f t="shared" ref="P438:P446" si="42">HYPERLINK("https://archive.org/details/b30454888_0007","Abrir enlace")</f>
        <v>Abrir enlace</v>
      </c>
      <c r="Q438" s="2"/>
      <c r="R438" s="2"/>
      <c r="S438" s="2"/>
      <c r="T438" s="2"/>
      <c r="U438" s="2"/>
      <c r="V438" s="2"/>
      <c r="W438" s="2"/>
      <c r="X438" s="2"/>
      <c r="Y438" s="2"/>
      <c r="Z438" s="2"/>
      <c r="AA438" s="2" t="s">
        <v>40</v>
      </c>
      <c r="AB438" s="2" t="s">
        <v>1544</v>
      </c>
      <c r="AC438" s="2"/>
      <c r="AD438" s="2"/>
      <c r="AE438" s="2"/>
    </row>
    <row r="439" ht="15.75" customHeight="1">
      <c r="A439" s="2">
        <v>439.0</v>
      </c>
      <c r="B439" s="2" t="s">
        <v>1541</v>
      </c>
      <c r="C439" s="2"/>
      <c r="D439" s="2" t="s">
        <v>165</v>
      </c>
      <c r="E439" s="2" t="s">
        <v>70</v>
      </c>
      <c r="F439" s="3" t="s">
        <v>35</v>
      </c>
      <c r="G439" s="2"/>
      <c r="H439" s="2" t="s">
        <v>70</v>
      </c>
      <c r="I439" s="2" t="s">
        <v>36</v>
      </c>
      <c r="J439" s="2" t="s">
        <v>37</v>
      </c>
      <c r="K439" s="4" t="str">
        <f t="shared" si="41"/>
        <v>Abrir enlace</v>
      </c>
      <c r="L439" s="2" t="s">
        <v>1543</v>
      </c>
      <c r="M439" s="2"/>
      <c r="N439" s="2" t="s">
        <v>54</v>
      </c>
      <c r="O439" s="2"/>
      <c r="P439" s="4" t="str">
        <f t="shared" si="42"/>
        <v>Abrir enlace</v>
      </c>
      <c r="Q439" s="2"/>
      <c r="R439" s="2"/>
      <c r="S439" s="2"/>
      <c r="T439" s="2"/>
      <c r="U439" s="2"/>
      <c r="V439" s="2"/>
      <c r="W439" s="2"/>
      <c r="X439" s="2"/>
      <c r="Y439" s="2"/>
      <c r="Z439" s="2"/>
      <c r="AA439" s="2" t="s">
        <v>40</v>
      </c>
      <c r="AB439" s="2" t="s">
        <v>41</v>
      </c>
      <c r="AC439" s="2"/>
      <c r="AD439" s="2"/>
      <c r="AE439" s="2"/>
    </row>
    <row r="440" ht="15.75" customHeight="1">
      <c r="A440" s="2">
        <v>440.0</v>
      </c>
      <c r="B440" s="2" t="s">
        <v>1541</v>
      </c>
      <c r="C440" s="2"/>
      <c r="D440" s="2" t="s">
        <v>165</v>
      </c>
      <c r="E440" s="2" t="s">
        <v>70</v>
      </c>
      <c r="F440" s="3" t="s">
        <v>35</v>
      </c>
      <c r="G440" s="2"/>
      <c r="H440" s="2" t="s">
        <v>70</v>
      </c>
      <c r="I440" s="2" t="s">
        <v>36</v>
      </c>
      <c r="J440" s="2" t="s">
        <v>37</v>
      </c>
      <c r="K440" s="4" t="str">
        <f t="shared" si="41"/>
        <v>Abrir enlace</v>
      </c>
      <c r="L440" s="2" t="s">
        <v>1543</v>
      </c>
      <c r="M440" s="2"/>
      <c r="N440" s="2" t="s">
        <v>54</v>
      </c>
      <c r="O440" s="2"/>
      <c r="P440" s="4" t="str">
        <f t="shared" si="42"/>
        <v>Abrir enlace</v>
      </c>
      <c r="Q440" s="2"/>
      <c r="R440" s="2"/>
      <c r="S440" s="2"/>
      <c r="T440" s="2"/>
      <c r="U440" s="2"/>
      <c r="V440" s="2"/>
      <c r="W440" s="2"/>
      <c r="X440" s="2"/>
      <c r="Y440" s="2"/>
      <c r="Z440" s="2"/>
      <c r="AA440" s="2" t="s">
        <v>40</v>
      </c>
      <c r="AB440" s="2" t="s">
        <v>41</v>
      </c>
      <c r="AC440" s="2"/>
      <c r="AD440" s="2"/>
      <c r="AE440" s="2"/>
    </row>
    <row r="441" ht="15.75" customHeight="1">
      <c r="A441" s="2">
        <v>441.0</v>
      </c>
      <c r="B441" s="2" t="s">
        <v>1541</v>
      </c>
      <c r="C441" s="2"/>
      <c r="D441" s="2" t="s">
        <v>165</v>
      </c>
      <c r="E441" s="2" t="s">
        <v>70</v>
      </c>
      <c r="F441" s="3" t="s">
        <v>35</v>
      </c>
      <c r="G441" s="2"/>
      <c r="H441" s="2" t="s">
        <v>70</v>
      </c>
      <c r="I441" s="2" t="s">
        <v>36</v>
      </c>
      <c r="J441" s="2" t="s">
        <v>37</v>
      </c>
      <c r="K441" s="4" t="str">
        <f t="shared" si="41"/>
        <v>Abrir enlace</v>
      </c>
      <c r="L441" s="2" t="s">
        <v>1543</v>
      </c>
      <c r="M441" s="2"/>
      <c r="N441" s="2" t="s">
        <v>54</v>
      </c>
      <c r="O441" s="2"/>
      <c r="P441" s="4" t="str">
        <f t="shared" si="42"/>
        <v>Abrir enlace</v>
      </c>
      <c r="Q441" s="2"/>
      <c r="R441" s="2"/>
      <c r="S441" s="2"/>
      <c r="T441" s="2"/>
      <c r="U441" s="2"/>
      <c r="V441" s="2"/>
      <c r="W441" s="2"/>
      <c r="X441" s="2"/>
      <c r="Y441" s="2"/>
      <c r="Z441" s="2"/>
      <c r="AA441" s="2" t="s">
        <v>40</v>
      </c>
      <c r="AB441" s="2" t="s">
        <v>41</v>
      </c>
      <c r="AC441" s="2"/>
      <c r="AD441" s="2"/>
      <c r="AE441" s="2"/>
    </row>
    <row r="442" ht="15.75" customHeight="1">
      <c r="A442" s="2">
        <v>442.0</v>
      </c>
      <c r="B442" s="2" t="s">
        <v>1541</v>
      </c>
      <c r="C442" s="2"/>
      <c r="D442" s="2" t="s">
        <v>165</v>
      </c>
      <c r="E442" s="2" t="s">
        <v>70</v>
      </c>
      <c r="F442" s="3" t="s">
        <v>35</v>
      </c>
      <c r="G442" s="2"/>
      <c r="H442" s="2" t="s">
        <v>70</v>
      </c>
      <c r="I442" s="2" t="s">
        <v>36</v>
      </c>
      <c r="J442" s="2" t="s">
        <v>37</v>
      </c>
      <c r="K442" s="4" t="str">
        <f t="shared" si="41"/>
        <v>Abrir enlace</v>
      </c>
      <c r="L442" s="2" t="s">
        <v>1543</v>
      </c>
      <c r="M442" s="2"/>
      <c r="N442" s="2" t="s">
        <v>54</v>
      </c>
      <c r="O442" s="2"/>
      <c r="P442" s="4" t="str">
        <f t="shared" si="42"/>
        <v>Abrir enlace</v>
      </c>
      <c r="Q442" s="2"/>
      <c r="R442" s="2"/>
      <c r="S442" s="2"/>
      <c r="T442" s="2"/>
      <c r="U442" s="2"/>
      <c r="V442" s="2"/>
      <c r="W442" s="2"/>
      <c r="X442" s="2"/>
      <c r="Y442" s="2"/>
      <c r="Z442" s="2"/>
      <c r="AA442" s="2" t="s">
        <v>40</v>
      </c>
      <c r="AB442" s="2" t="s">
        <v>41</v>
      </c>
      <c r="AC442" s="2"/>
      <c r="AD442" s="2"/>
      <c r="AE442" s="2"/>
    </row>
    <row r="443" ht="15.75" customHeight="1">
      <c r="A443" s="2">
        <v>443.0</v>
      </c>
      <c r="B443" s="2" t="s">
        <v>1541</v>
      </c>
      <c r="C443" s="2"/>
      <c r="D443" s="2" t="s">
        <v>165</v>
      </c>
      <c r="E443" s="2" t="s">
        <v>70</v>
      </c>
      <c r="F443" s="3" t="s">
        <v>35</v>
      </c>
      <c r="G443" s="2"/>
      <c r="H443" s="2" t="s">
        <v>70</v>
      </c>
      <c r="I443" s="2" t="s">
        <v>36</v>
      </c>
      <c r="J443" s="2" t="s">
        <v>37</v>
      </c>
      <c r="K443" s="4" t="str">
        <f t="shared" si="41"/>
        <v>Abrir enlace</v>
      </c>
      <c r="L443" s="2" t="s">
        <v>1543</v>
      </c>
      <c r="M443" s="2"/>
      <c r="N443" s="2" t="s">
        <v>54</v>
      </c>
      <c r="O443" s="2"/>
      <c r="P443" s="4" t="str">
        <f t="shared" si="42"/>
        <v>Abrir enlace</v>
      </c>
      <c r="Q443" s="2"/>
      <c r="R443" s="2"/>
      <c r="S443" s="2"/>
      <c r="T443" s="2"/>
      <c r="U443" s="2"/>
      <c r="V443" s="2"/>
      <c r="W443" s="2"/>
      <c r="X443" s="2"/>
      <c r="Y443" s="2"/>
      <c r="Z443" s="2"/>
      <c r="AA443" s="2" t="s">
        <v>40</v>
      </c>
      <c r="AB443" s="2" t="s">
        <v>41</v>
      </c>
      <c r="AC443" s="2"/>
      <c r="AD443" s="2"/>
      <c r="AE443" s="2"/>
    </row>
    <row r="444" ht="15.75" customHeight="1">
      <c r="A444" s="2">
        <v>444.0</v>
      </c>
      <c r="B444" s="2" t="s">
        <v>1541</v>
      </c>
      <c r="C444" s="2"/>
      <c r="D444" s="2" t="s">
        <v>165</v>
      </c>
      <c r="E444" s="2" t="s">
        <v>70</v>
      </c>
      <c r="F444" s="3" t="s">
        <v>35</v>
      </c>
      <c r="G444" s="2"/>
      <c r="H444" s="2" t="s">
        <v>70</v>
      </c>
      <c r="I444" s="2" t="s">
        <v>36</v>
      </c>
      <c r="J444" s="2" t="s">
        <v>37</v>
      </c>
      <c r="K444" s="4" t="str">
        <f t="shared" si="41"/>
        <v>Abrir enlace</v>
      </c>
      <c r="L444" s="2" t="s">
        <v>1543</v>
      </c>
      <c r="M444" s="2"/>
      <c r="N444" s="2" t="s">
        <v>54</v>
      </c>
      <c r="O444" s="2"/>
      <c r="P444" s="4" t="str">
        <f t="shared" si="42"/>
        <v>Abrir enlace</v>
      </c>
      <c r="Q444" s="2"/>
      <c r="R444" s="2"/>
      <c r="S444" s="2"/>
      <c r="T444" s="2"/>
      <c r="U444" s="2"/>
      <c r="V444" s="2"/>
      <c r="W444" s="2"/>
      <c r="X444" s="2"/>
      <c r="Y444" s="2"/>
      <c r="Z444" s="2"/>
      <c r="AA444" s="2" t="s">
        <v>40</v>
      </c>
      <c r="AB444" s="2" t="s">
        <v>41</v>
      </c>
      <c r="AC444" s="2"/>
      <c r="AD444" s="2"/>
      <c r="AE444" s="2"/>
    </row>
    <row r="445" ht="15.75" customHeight="1">
      <c r="A445" s="2">
        <v>445.0</v>
      </c>
      <c r="B445" s="2" t="s">
        <v>1541</v>
      </c>
      <c r="C445" s="2"/>
      <c r="D445" s="2" t="s">
        <v>165</v>
      </c>
      <c r="E445" s="2" t="s">
        <v>70</v>
      </c>
      <c r="F445" s="3" t="s">
        <v>35</v>
      </c>
      <c r="G445" s="2"/>
      <c r="H445" s="2" t="s">
        <v>70</v>
      </c>
      <c r="I445" s="2" t="s">
        <v>36</v>
      </c>
      <c r="J445" s="2" t="s">
        <v>37</v>
      </c>
      <c r="K445" s="4" t="str">
        <f t="shared" si="41"/>
        <v>Abrir enlace</v>
      </c>
      <c r="L445" s="2" t="s">
        <v>1543</v>
      </c>
      <c r="M445" s="2"/>
      <c r="N445" s="2" t="s">
        <v>54</v>
      </c>
      <c r="O445" s="2"/>
      <c r="P445" s="4" t="str">
        <f t="shared" si="42"/>
        <v>Abrir enlace</v>
      </c>
      <c r="Q445" s="2"/>
      <c r="R445" s="2"/>
      <c r="S445" s="2"/>
      <c r="T445" s="2"/>
      <c r="U445" s="2"/>
      <c r="V445" s="2"/>
      <c r="W445" s="2"/>
      <c r="X445" s="2"/>
      <c r="Y445" s="2"/>
      <c r="Z445" s="2"/>
      <c r="AA445" s="2" t="s">
        <v>40</v>
      </c>
      <c r="AB445" s="2" t="s">
        <v>41</v>
      </c>
      <c r="AC445" s="2"/>
      <c r="AD445" s="2"/>
      <c r="AE445" s="2"/>
    </row>
    <row r="446" ht="15.75" customHeight="1">
      <c r="A446" s="2">
        <v>446.0</v>
      </c>
      <c r="B446" s="2" t="s">
        <v>1541</v>
      </c>
      <c r="C446" s="2"/>
      <c r="D446" s="2" t="s">
        <v>165</v>
      </c>
      <c r="E446" s="2" t="s">
        <v>70</v>
      </c>
      <c r="F446" s="3" t="s">
        <v>35</v>
      </c>
      <c r="G446" s="2"/>
      <c r="H446" s="2" t="s">
        <v>70</v>
      </c>
      <c r="I446" s="2" t="s">
        <v>36</v>
      </c>
      <c r="J446" s="2" t="s">
        <v>37</v>
      </c>
      <c r="K446" s="4" t="str">
        <f t="shared" si="41"/>
        <v>Abrir enlace</v>
      </c>
      <c r="L446" s="2" t="s">
        <v>1543</v>
      </c>
      <c r="M446" s="2"/>
      <c r="N446" s="2" t="s">
        <v>54</v>
      </c>
      <c r="O446" s="2"/>
      <c r="P446" s="4" t="str">
        <f t="shared" si="42"/>
        <v>Abrir enlace</v>
      </c>
      <c r="Q446" s="2"/>
      <c r="R446" s="2"/>
      <c r="S446" s="2"/>
      <c r="T446" s="2"/>
      <c r="U446" s="2"/>
      <c r="V446" s="2"/>
      <c r="W446" s="2"/>
      <c r="X446" s="2"/>
      <c r="Y446" s="2"/>
      <c r="Z446" s="2"/>
      <c r="AA446" s="2" t="s">
        <v>40</v>
      </c>
      <c r="AB446" s="2" t="s">
        <v>41</v>
      </c>
      <c r="AC446" s="2"/>
      <c r="AD446" s="2"/>
      <c r="AE446" s="2"/>
    </row>
    <row r="447" ht="15.75" customHeight="1">
      <c r="A447" s="2">
        <v>447.0</v>
      </c>
      <c r="B447" s="2" t="s">
        <v>1545</v>
      </c>
      <c r="C447" s="2" t="s">
        <v>119</v>
      </c>
      <c r="D447" s="2" t="s">
        <v>49</v>
      </c>
      <c r="E447" s="2" t="s">
        <v>64</v>
      </c>
      <c r="F447" s="2" t="s">
        <v>35</v>
      </c>
      <c r="G447" s="2"/>
      <c r="H447" s="2" t="s">
        <v>64</v>
      </c>
      <c r="I447" s="2" t="s">
        <v>36</v>
      </c>
      <c r="J447" s="2" t="s">
        <v>1546</v>
      </c>
      <c r="K447" s="4" t="str">
        <f>HYPERLINK("https://descubridor.banrepcultural.org/discovery/fulldisplay/alma991014519989707486/57BDLRDC_INST:57BDLRDC_INST","Abrir enlace")</f>
        <v>Abrir enlace</v>
      </c>
      <c r="L447" s="2" t="s">
        <v>1547</v>
      </c>
      <c r="M447" s="2"/>
      <c r="N447" s="2" t="s">
        <v>91</v>
      </c>
      <c r="O447" s="2" t="s">
        <v>735</v>
      </c>
      <c r="P447" s="4" t="str">
        <f>HYPERLINK("https://descubridor.banrepcultural.org/discovery/fulldisplay/alma991014519989707486/57BDLRDC_INST:57BDLRDC_INST","Abrir enlace")</f>
        <v>Abrir enlace</v>
      </c>
      <c r="Q447" s="2" t="s">
        <v>1548</v>
      </c>
      <c r="R447" s="2"/>
      <c r="S447" s="2" t="s">
        <v>91</v>
      </c>
      <c r="T447" s="2" t="s">
        <v>1549</v>
      </c>
      <c r="U447" s="4" t="str">
        <f>HYPERLINK("https://catalogo.udem.edu.mx/cgi-bin/koha/opac-detail.pl?biblionumber=158926","Abrir enlace")</f>
        <v>Abrir enlace</v>
      </c>
      <c r="V447" s="2" t="s">
        <v>1550</v>
      </c>
      <c r="W447" s="2"/>
      <c r="X447" s="2" t="s">
        <v>91</v>
      </c>
      <c r="Y447" s="2" t="s">
        <v>1551</v>
      </c>
      <c r="Z447" s="4" t="str">
        <f>HYPERLINK("https://archive.org/details/nuevodiccionari00salvuoft","Abrir enlace")</f>
        <v>Abrir enlace</v>
      </c>
      <c r="AA447" s="2"/>
      <c r="AB447" s="2"/>
      <c r="AC447" s="2"/>
      <c r="AD447" s="2"/>
      <c r="AE447" s="2"/>
    </row>
    <row r="448" ht="15.75" customHeight="1">
      <c r="A448" s="2">
        <v>448.0</v>
      </c>
      <c r="B448" s="2" t="s">
        <v>1552</v>
      </c>
      <c r="C448" s="2" t="s">
        <v>181</v>
      </c>
      <c r="D448" s="2" t="s">
        <v>33</v>
      </c>
      <c r="E448" s="2" t="s">
        <v>64</v>
      </c>
      <c r="F448" s="3" t="s">
        <v>35</v>
      </c>
      <c r="G448" s="2"/>
      <c r="H448" s="2" t="s">
        <v>64</v>
      </c>
      <c r="I448" s="2" t="s">
        <v>36</v>
      </c>
      <c r="J448" s="2" t="s">
        <v>37</v>
      </c>
      <c r="K448" s="4" t="str">
        <f>HYPERLINK("https://archive.org/details/bub_gb_yMdQdJPZZcoC","Abrir enlace")</f>
        <v>Abrir enlace</v>
      </c>
      <c r="L448" s="2" t="s">
        <v>1553</v>
      </c>
      <c r="M448" s="2"/>
      <c r="N448" s="2" t="s">
        <v>54</v>
      </c>
      <c r="O448" s="2"/>
      <c r="P448" s="4" t="str">
        <f>HYPERLINK("https://archive.org/details/bub_gb_yMdQdJPZZcoC","Abrir enlace")</f>
        <v>Abrir enlace</v>
      </c>
      <c r="Q448" s="2"/>
      <c r="R448" s="2"/>
      <c r="S448" s="2"/>
      <c r="T448" s="2"/>
      <c r="U448" s="2"/>
      <c r="V448" s="2"/>
      <c r="W448" s="2"/>
      <c r="X448" s="2"/>
      <c r="Y448" s="2"/>
      <c r="Z448" s="2"/>
      <c r="AA448" s="2" t="s">
        <v>60</v>
      </c>
      <c r="AB448" s="2" t="s">
        <v>67</v>
      </c>
      <c r="AC448" s="2"/>
      <c r="AD448" s="2"/>
      <c r="AE448" s="2"/>
    </row>
    <row r="449" ht="15.75" customHeight="1">
      <c r="A449" s="2">
        <v>449.0</v>
      </c>
      <c r="B449" s="2" t="s">
        <v>317</v>
      </c>
      <c r="C449" s="2" t="s">
        <v>956</v>
      </c>
      <c r="D449" s="2" t="s">
        <v>33</v>
      </c>
      <c r="E449" s="2" t="s">
        <v>64</v>
      </c>
      <c r="F449" s="2" t="s">
        <v>35</v>
      </c>
      <c r="G449" s="2"/>
      <c r="H449" s="2" t="s">
        <v>64</v>
      </c>
      <c r="I449" s="2" t="s">
        <v>36</v>
      </c>
      <c r="J449" s="2" t="s">
        <v>1372</v>
      </c>
      <c r="K449" s="2" t="s">
        <v>757</v>
      </c>
      <c r="L449" s="2" t="s">
        <v>1373</v>
      </c>
      <c r="M449" s="2"/>
      <c r="N449" s="2" t="s">
        <v>91</v>
      </c>
      <c r="O449" s="2" t="s">
        <v>92</v>
      </c>
      <c r="P449" s="2" t="s">
        <v>757</v>
      </c>
      <c r="Q449" s="2" t="s">
        <v>1374</v>
      </c>
      <c r="R449" s="2"/>
      <c r="S449" s="2" t="s">
        <v>91</v>
      </c>
      <c r="T449" s="2" t="s">
        <v>1375</v>
      </c>
      <c r="U449" s="2" t="s">
        <v>757</v>
      </c>
      <c r="V449" s="2" t="s">
        <v>1376</v>
      </c>
      <c r="W449" s="2"/>
      <c r="X449" s="2" t="s">
        <v>91</v>
      </c>
      <c r="Y449" s="2" t="s">
        <v>1377</v>
      </c>
      <c r="Z449" s="2" t="s">
        <v>757</v>
      </c>
      <c r="AA449" s="2"/>
      <c r="AB449" s="2"/>
      <c r="AC449" s="2"/>
      <c r="AD449" s="2"/>
      <c r="AE449" s="2"/>
    </row>
    <row r="450" ht="15.75" customHeight="1">
      <c r="A450" s="2">
        <v>450.0</v>
      </c>
      <c r="B450" s="2" t="s">
        <v>317</v>
      </c>
      <c r="C450" s="2" t="s">
        <v>956</v>
      </c>
      <c r="D450" s="2" t="s">
        <v>33</v>
      </c>
      <c r="E450" s="2" t="s">
        <v>64</v>
      </c>
      <c r="F450" s="2" t="s">
        <v>35</v>
      </c>
      <c r="G450" s="2"/>
      <c r="H450" s="2" t="s">
        <v>64</v>
      </c>
      <c r="I450" s="2" t="s">
        <v>36</v>
      </c>
      <c r="J450" s="2" t="s">
        <v>1372</v>
      </c>
      <c r="K450" s="2" t="s">
        <v>757</v>
      </c>
      <c r="L450" s="2" t="s">
        <v>1373</v>
      </c>
      <c r="M450" s="2"/>
      <c r="N450" s="2" t="s">
        <v>91</v>
      </c>
      <c r="O450" s="2" t="s">
        <v>92</v>
      </c>
      <c r="P450" s="2" t="s">
        <v>757</v>
      </c>
      <c r="Q450" s="2" t="s">
        <v>1374</v>
      </c>
      <c r="R450" s="2"/>
      <c r="S450" s="2" t="s">
        <v>91</v>
      </c>
      <c r="T450" s="2" t="s">
        <v>1375</v>
      </c>
      <c r="U450" s="2" t="s">
        <v>757</v>
      </c>
      <c r="V450" s="2" t="s">
        <v>1376</v>
      </c>
      <c r="W450" s="2"/>
      <c r="X450" s="2" t="s">
        <v>91</v>
      </c>
      <c r="Y450" s="2" t="s">
        <v>1377</v>
      </c>
      <c r="Z450" s="2" t="s">
        <v>757</v>
      </c>
      <c r="AA450" s="2"/>
      <c r="AB450" s="2"/>
      <c r="AC450" s="2"/>
      <c r="AD450" s="2"/>
      <c r="AE450" s="2"/>
    </row>
    <row r="451" ht="15.75" customHeight="1">
      <c r="A451" s="2">
        <v>451.0</v>
      </c>
      <c r="B451" s="2" t="s">
        <v>1554</v>
      </c>
      <c r="C451" s="2" t="s">
        <v>1555</v>
      </c>
      <c r="D451" s="2" t="s">
        <v>33</v>
      </c>
      <c r="E451" s="2" t="s">
        <v>34</v>
      </c>
      <c r="F451" s="2" t="s">
        <v>35</v>
      </c>
      <c r="G451" s="2"/>
      <c r="H451" s="2" t="s">
        <v>34</v>
      </c>
      <c r="I451" s="2" t="s">
        <v>168</v>
      </c>
      <c r="J451" s="2" t="s">
        <v>1556</v>
      </c>
      <c r="K451" s="4" t="str">
        <f>HYPERLINK("https://www.sudoc.fr/096175850","Abrir enlace")</f>
        <v>Abrir enlace</v>
      </c>
      <c r="L451" s="2" t="s">
        <v>1557</v>
      </c>
      <c r="M451" s="2"/>
      <c r="N451" s="2" t="s">
        <v>91</v>
      </c>
      <c r="O451" s="2" t="s">
        <v>1558</v>
      </c>
      <c r="P451" s="4" t="str">
        <f>HYPERLINK("https://www.sudoc.fr/096175850","Abrir enlace")</f>
        <v>Abrir enlace</v>
      </c>
      <c r="Q451" s="2" t="s">
        <v>1559</v>
      </c>
      <c r="R451" s="2"/>
      <c r="S451" s="2" t="s">
        <v>91</v>
      </c>
      <c r="T451" s="2" t="s">
        <v>999</v>
      </c>
      <c r="U451" s="4" t="str">
        <f>HYPERLINK("https://ixtheo.de/Record/1486511570","Abrir enlace")</f>
        <v>Abrir enlace</v>
      </c>
      <c r="V451" s="2" t="s">
        <v>1560</v>
      </c>
      <c r="W451" s="2"/>
      <c r="X451" s="2" t="s">
        <v>91</v>
      </c>
      <c r="Y451" s="2" t="s">
        <v>1561</v>
      </c>
      <c r="Z451" s="4" t="str">
        <f>HYPERLINK("https://fr.wikipedia.org/wiki/Paulin_Moniquet","Abrir enlace")</f>
        <v>Abrir enlace</v>
      </c>
      <c r="AA451" s="2"/>
      <c r="AB451" s="2"/>
      <c r="AC451" s="2"/>
      <c r="AD451" s="2"/>
      <c r="AE451" s="2"/>
    </row>
    <row r="452" ht="15.75" customHeight="1">
      <c r="A452" s="2">
        <v>452.0</v>
      </c>
      <c r="B452" s="2" t="s">
        <v>1562</v>
      </c>
      <c r="C452" s="2" t="s">
        <v>1563</v>
      </c>
      <c r="D452" s="2" t="s">
        <v>33</v>
      </c>
      <c r="E452" s="2" t="s">
        <v>64</v>
      </c>
      <c r="F452" s="3" t="s">
        <v>35</v>
      </c>
      <c r="G452" s="2"/>
      <c r="H452" s="2" t="s">
        <v>64</v>
      </c>
      <c r="I452" s="2" t="s">
        <v>36</v>
      </c>
      <c r="J452" s="2" t="s">
        <v>1564</v>
      </c>
      <c r="K452" s="4" t="str">
        <f>HYPERLINK("https://openlibrary.org/works/OL44988778W","Abrir enlace")</f>
        <v>Abrir enlace</v>
      </c>
      <c r="L452" s="2" t="s">
        <v>1562</v>
      </c>
      <c r="M452" s="2"/>
      <c r="N452" s="2" t="s">
        <v>45</v>
      </c>
      <c r="O452" s="2"/>
      <c r="P452" s="4" t="str">
        <f>HYPERLINK("https://openlibrary.org/works/OL44988778W","Abrir enlace")</f>
        <v>Abrir enlace</v>
      </c>
      <c r="Q452" s="2"/>
      <c r="R452" s="2"/>
      <c r="S452" s="2"/>
      <c r="T452" s="2"/>
      <c r="U452" s="2"/>
      <c r="V452" s="2"/>
      <c r="W452" s="2"/>
      <c r="X452" s="2"/>
      <c r="Y452" s="2"/>
      <c r="Z452" s="2"/>
      <c r="AA452" s="2" t="s">
        <v>51</v>
      </c>
      <c r="AB452" s="2" t="s">
        <v>258</v>
      </c>
      <c r="AC452" s="2"/>
      <c r="AD452" s="2"/>
      <c r="AE452" s="2"/>
    </row>
    <row r="453" ht="15.75" customHeight="1">
      <c r="A453" s="2">
        <v>453.0</v>
      </c>
      <c r="B453" s="2" t="s">
        <v>1565</v>
      </c>
      <c r="C453" s="2"/>
      <c r="D453" s="2" t="s">
        <v>49</v>
      </c>
      <c r="E453" s="2" t="s">
        <v>70</v>
      </c>
      <c r="F453" s="3" t="s">
        <v>35</v>
      </c>
      <c r="G453" s="2"/>
      <c r="H453" s="2" t="s">
        <v>70</v>
      </c>
      <c r="I453" s="2" t="s">
        <v>36</v>
      </c>
      <c r="J453" s="2" t="s">
        <v>1566</v>
      </c>
      <c r="K453" s="4" t="str">
        <f>HYPERLINK("https://openlibrary.org/works/OL16467599W","Abrir enlace")</f>
        <v>Abrir enlace</v>
      </c>
      <c r="L453" s="2" t="s">
        <v>1567</v>
      </c>
      <c r="M453" s="2"/>
      <c r="N453" s="2" t="s">
        <v>45</v>
      </c>
      <c r="O453" s="2"/>
      <c r="P453" s="4" t="str">
        <f>HYPERLINK("https://openlibrary.org/works/OL16467599W","Abrir enlace")</f>
        <v>Abrir enlace</v>
      </c>
      <c r="Q453" s="2"/>
      <c r="R453" s="2"/>
      <c r="S453" s="2"/>
      <c r="T453" s="2"/>
      <c r="U453" s="2"/>
      <c r="V453" s="2"/>
      <c r="W453" s="2"/>
      <c r="X453" s="2"/>
      <c r="Y453" s="2"/>
      <c r="Z453" s="2"/>
      <c r="AA453" s="2" t="s">
        <v>40</v>
      </c>
      <c r="AB453" s="2" t="s">
        <v>1568</v>
      </c>
      <c r="AC453" s="2"/>
      <c r="AD453" s="2"/>
      <c r="AE453" s="2"/>
    </row>
    <row r="454" ht="15.75" customHeight="1">
      <c r="A454" s="2">
        <v>454.0</v>
      </c>
      <c r="B454" s="2" t="s">
        <v>1569</v>
      </c>
      <c r="C454" s="2"/>
      <c r="D454" s="2" t="s">
        <v>49</v>
      </c>
      <c r="E454" s="2" t="s">
        <v>64</v>
      </c>
      <c r="F454" s="2" t="s">
        <v>35</v>
      </c>
      <c r="G454" s="2"/>
      <c r="H454" s="2" t="s">
        <v>64</v>
      </c>
      <c r="I454" s="2" t="s">
        <v>36</v>
      </c>
      <c r="J454" s="2" t="s">
        <v>1570</v>
      </c>
      <c r="K454" s="4" t="str">
        <f>HYPERLINK("https://upload.wikimedia.org/wikipedia/commons/c/cc/Q._Horatii_Flacci_opera_(IA_qhoratiiflaccio00kinggoog).pdf","Abrir enlace")</f>
        <v>Abrir enlace</v>
      </c>
      <c r="L454" s="2" t="s">
        <v>1571</v>
      </c>
      <c r="M454" s="2"/>
      <c r="N454" s="2" t="s">
        <v>91</v>
      </c>
      <c r="O454" s="2" t="s">
        <v>1572</v>
      </c>
      <c r="P454" s="4" t="str">
        <f>HYPERLINK("https://upload.wikimedia.org/wikipedia/commons/c/cc/Q._Horatii_Flacci_opera_(IA_qhoratiiflaccio00kinggoog).pdf","Abrir enlace")</f>
        <v>Abrir enlace</v>
      </c>
      <c r="Q454" s="2" t="s">
        <v>1573</v>
      </c>
      <c r="R454" s="2"/>
      <c r="S454" s="2" t="s">
        <v>91</v>
      </c>
      <c r="T454" s="2" t="s">
        <v>1414</v>
      </c>
      <c r="U454" s="4" t="str">
        <f>HYPERLINK("https://books.google.com/books/about/Q_Horati_Flacci_opera.html?id=_nhNah-6BvkC","Abrir enlace")</f>
        <v>Abrir enlace</v>
      </c>
      <c r="V454" s="2" t="s">
        <v>1574</v>
      </c>
      <c r="W454" s="2"/>
      <c r="X454" s="2" t="s">
        <v>91</v>
      </c>
      <c r="Y454" s="2" t="s">
        <v>1575</v>
      </c>
      <c r="Z454" s="4" t="str">
        <f>HYPERLINK("https://archive.org/details/qhoratiflacciop00garrgoog","Abrir enlace")</f>
        <v>Abrir enlace</v>
      </c>
      <c r="AA454" s="2"/>
      <c r="AB454" s="2"/>
      <c r="AC454" s="2"/>
      <c r="AD454" s="2"/>
      <c r="AE454" s="2"/>
    </row>
    <row r="455" ht="15.75" customHeight="1">
      <c r="A455" s="2">
        <v>455.0</v>
      </c>
      <c r="B455" s="2" t="s">
        <v>1576</v>
      </c>
      <c r="C455" s="2"/>
      <c r="D455" s="2" t="s">
        <v>99</v>
      </c>
      <c r="E455" s="2" t="s">
        <v>64</v>
      </c>
      <c r="F455" s="2" t="s">
        <v>35</v>
      </c>
      <c r="G455" s="2"/>
      <c r="H455" s="2" t="s">
        <v>64</v>
      </c>
      <c r="I455" s="2" t="s">
        <v>36</v>
      </c>
      <c r="J455" s="2" t="s">
        <v>1577</v>
      </c>
      <c r="K455" s="4" t="str">
        <f>HYPERLINK("https://archive.org/details/bwb_S0-DQS-104","Abrir enlace")</f>
        <v>Abrir enlace</v>
      </c>
      <c r="L455" s="2" t="s">
        <v>1578</v>
      </c>
      <c r="M455" s="2" t="s">
        <v>1579</v>
      </c>
      <c r="N455" s="2" t="s">
        <v>54</v>
      </c>
      <c r="O455" s="2" t="s">
        <v>1580</v>
      </c>
      <c r="P455" s="4" t="str">
        <f>HYPERLINK("https://archive.org/details/bwb_S0-DQS-104","Abrir enlace")</f>
        <v>Abrir enlace</v>
      </c>
      <c r="Q455" s="2" t="s">
        <v>1581</v>
      </c>
      <c r="R455" s="2" t="s">
        <v>1582</v>
      </c>
      <c r="S455" s="2" t="s">
        <v>54</v>
      </c>
      <c r="T455" s="2" t="s">
        <v>1583</v>
      </c>
      <c r="U455" s="4" t="str">
        <f>HYPERLINK("https://archive.org/details/numismaticcirculvol7numi_d9u0","Abrir enlace")</f>
        <v>Abrir enlace</v>
      </c>
      <c r="V455" s="2" t="s">
        <v>1584</v>
      </c>
      <c r="W455" s="2" t="s">
        <v>1585</v>
      </c>
      <c r="X455" s="2" t="s">
        <v>54</v>
      </c>
      <c r="Y455" s="2" t="s">
        <v>1586</v>
      </c>
      <c r="Z455" s="4" t="str">
        <f>HYPERLINK("https://archive.org/details/numismaticscrapb18n1hewi","Abrir enlace")</f>
        <v>Abrir enlace</v>
      </c>
      <c r="AA455" s="2"/>
      <c r="AB455" s="2"/>
      <c r="AC455" s="2"/>
      <c r="AD455" s="2"/>
      <c r="AE455" s="2"/>
    </row>
    <row r="456" ht="15.75" customHeight="1">
      <c r="A456" s="2">
        <v>456.0</v>
      </c>
      <c r="B456" s="2" t="s">
        <v>1429</v>
      </c>
      <c r="C456" s="2" t="s">
        <v>1587</v>
      </c>
      <c r="D456" s="2" t="s">
        <v>33</v>
      </c>
      <c r="E456" s="2" t="s">
        <v>64</v>
      </c>
      <c r="F456" s="3" t="s">
        <v>35</v>
      </c>
      <c r="G456" s="2"/>
      <c r="H456" s="2" t="s">
        <v>64</v>
      </c>
      <c r="I456" s="2" t="s">
        <v>36</v>
      </c>
      <c r="J456" s="2" t="s">
        <v>37</v>
      </c>
      <c r="K456" s="4" t="str">
        <f>HYPERLINK("https://openlibrary.org/works/OL4998577W","Abrir enlace")</f>
        <v>Abrir enlace</v>
      </c>
      <c r="L456" s="2" t="s">
        <v>1588</v>
      </c>
      <c r="M456" s="2"/>
      <c r="N456" s="2" t="s">
        <v>45</v>
      </c>
      <c r="O456" s="2"/>
      <c r="P456" s="4" t="str">
        <f>HYPERLINK("https://openlibrary.org/works/OL4998577W","Abrir enlace")</f>
        <v>Abrir enlace</v>
      </c>
      <c r="Q456" s="2"/>
      <c r="R456" s="2"/>
      <c r="S456" s="2"/>
      <c r="T456" s="2"/>
      <c r="U456" s="2"/>
      <c r="V456" s="2"/>
      <c r="W456" s="2"/>
      <c r="X456" s="2"/>
      <c r="Y456" s="2"/>
      <c r="Z456" s="2"/>
      <c r="AA456" s="2" t="s">
        <v>40</v>
      </c>
      <c r="AB456" s="2" t="s">
        <v>67</v>
      </c>
      <c r="AC456" s="2"/>
      <c r="AD456" s="2"/>
      <c r="AE456" s="2"/>
    </row>
    <row r="457" ht="15.75" customHeight="1">
      <c r="A457" s="2">
        <v>457.0</v>
      </c>
      <c r="B457" s="2" t="s">
        <v>1589</v>
      </c>
      <c r="C457" s="2" t="s">
        <v>1249</v>
      </c>
      <c r="D457" s="2" t="s">
        <v>33</v>
      </c>
      <c r="E457" s="2" t="s">
        <v>70</v>
      </c>
      <c r="F457" s="3" t="s">
        <v>35</v>
      </c>
      <c r="G457" s="2"/>
      <c r="H457" s="2" t="s">
        <v>70</v>
      </c>
      <c r="I457" s="2" t="s">
        <v>36</v>
      </c>
      <c r="J457" s="2" t="s">
        <v>1590</v>
      </c>
      <c r="K457" s="4" t="str">
        <f>HYPERLINK("https://openlibrary.org/works/OL37750056W","Abrir enlace")</f>
        <v>Abrir enlace</v>
      </c>
      <c r="L457" s="2" t="s">
        <v>1591</v>
      </c>
      <c r="M457" s="2"/>
      <c r="N457" s="2" t="s">
        <v>45</v>
      </c>
      <c r="O457" s="2"/>
      <c r="P457" s="4" t="str">
        <f>HYPERLINK("https://openlibrary.org/works/OL37750056W","Abrir enlace")</f>
        <v>Abrir enlace</v>
      </c>
      <c r="Q457" s="2"/>
      <c r="R457" s="2"/>
      <c r="S457" s="2"/>
      <c r="T457" s="2"/>
      <c r="U457" s="2"/>
      <c r="V457" s="2"/>
      <c r="W457" s="2"/>
      <c r="X457" s="2"/>
      <c r="Y457" s="2"/>
      <c r="Z457" s="2"/>
      <c r="AA457" s="2" t="s">
        <v>51</v>
      </c>
      <c r="AB457" s="2" t="s">
        <v>420</v>
      </c>
      <c r="AC457" s="2"/>
      <c r="AD457" s="2"/>
      <c r="AE457" s="2"/>
    </row>
    <row r="458" ht="15.75" customHeight="1">
      <c r="A458" s="2">
        <v>458.0</v>
      </c>
      <c r="B458" s="2" t="s">
        <v>1592</v>
      </c>
      <c r="C458" s="2"/>
      <c r="D458" s="2" t="s">
        <v>33</v>
      </c>
      <c r="E458" s="2" t="s">
        <v>188</v>
      </c>
      <c r="F458" s="2" t="s">
        <v>35</v>
      </c>
      <c r="G458" s="2"/>
      <c r="H458" s="2" t="s">
        <v>188</v>
      </c>
      <c r="I458" s="2" t="s">
        <v>168</v>
      </c>
      <c r="J458" s="2" t="s">
        <v>1593</v>
      </c>
      <c r="K458" s="4" t="str">
        <f>HYPERLINK("https://archive.org/details/bub_gb_Kop5RXzu34QC","Abrir enlace")</f>
        <v>Abrir enlace</v>
      </c>
      <c r="L458" s="2" t="s">
        <v>1594</v>
      </c>
      <c r="M458" s="2"/>
      <c r="N458" s="2" t="s">
        <v>91</v>
      </c>
      <c r="O458" s="2" t="s">
        <v>215</v>
      </c>
      <c r="P458" s="4" t="str">
        <f>HYPERLINK("https://archive.org/details/bub_gb_Kop5RXzu34QC","Abrir enlace")</f>
        <v>Abrir enlace</v>
      </c>
      <c r="Q458" s="2" t="s">
        <v>1595</v>
      </c>
      <c r="R458" s="2"/>
      <c r="S458" s="2" t="s">
        <v>91</v>
      </c>
      <c r="T458" s="2" t="s">
        <v>1596</v>
      </c>
      <c r="U458" s="4" t="str">
        <f>HYPERLINK("https://archive.org/details/bub_gb_LAJ3WLfkT5QC","Abrir enlace")</f>
        <v>Abrir enlace</v>
      </c>
      <c r="V458" s="2" t="s">
        <v>1597</v>
      </c>
      <c r="W458" s="2"/>
      <c r="X458" s="2" t="s">
        <v>91</v>
      </c>
      <c r="Y458" s="2" t="s">
        <v>1598</v>
      </c>
      <c r="Z458" s="4" t="str">
        <f>HYPERLINK("https://books.google.com/books/about/Moto_proprio_della_santità_di_nostro_si.html?id=jIJf5yRuq3EC","Abrir enlace")</f>
        <v>Abrir enlace</v>
      </c>
      <c r="AA458" s="2"/>
      <c r="AB458" s="2"/>
      <c r="AC458" s="2"/>
      <c r="AD458" s="2"/>
      <c r="AE458" s="2"/>
    </row>
    <row r="459" ht="15.75" customHeight="1">
      <c r="A459" s="2">
        <v>459.0</v>
      </c>
      <c r="B459" s="2" t="s">
        <v>1599</v>
      </c>
      <c r="C459" s="2"/>
      <c r="D459" s="2" t="s">
        <v>165</v>
      </c>
      <c r="E459" s="2" t="s">
        <v>64</v>
      </c>
      <c r="F459" s="3" t="s">
        <v>35</v>
      </c>
      <c r="G459" s="2"/>
      <c r="H459" s="2" t="s">
        <v>64</v>
      </c>
      <c r="I459" s="2" t="s">
        <v>36</v>
      </c>
      <c r="J459" s="2" t="s">
        <v>37</v>
      </c>
      <c r="K459" s="4" t="str">
        <f t="shared" ref="K459:K461" si="43">HYPERLINK("https://archive.org/details/dictionnairedel01saba","Abrir enlace")</f>
        <v>Abrir enlace</v>
      </c>
      <c r="L459" s="2" t="s">
        <v>1600</v>
      </c>
      <c r="M459" s="2"/>
      <c r="N459" s="2" t="s">
        <v>54</v>
      </c>
      <c r="O459" s="2"/>
      <c r="P459" s="4" t="str">
        <f t="shared" ref="P459:P461" si="44">HYPERLINK("https://archive.org/details/dictionnairedel01saba","Abrir enlace")</f>
        <v>Abrir enlace</v>
      </c>
      <c r="Q459" s="2"/>
      <c r="R459" s="2"/>
      <c r="S459" s="2"/>
      <c r="T459" s="2"/>
      <c r="U459" s="2"/>
      <c r="V459" s="2"/>
      <c r="W459" s="2"/>
      <c r="X459" s="2"/>
      <c r="Y459" s="2"/>
      <c r="Z459" s="2"/>
      <c r="AA459" s="2" t="s">
        <v>40</v>
      </c>
      <c r="AB459" s="2" t="s">
        <v>67</v>
      </c>
      <c r="AC459" s="2"/>
      <c r="AD459" s="2"/>
      <c r="AE459" s="2"/>
    </row>
    <row r="460" ht="15.75" customHeight="1">
      <c r="A460" s="2">
        <v>460.0</v>
      </c>
      <c r="B460" s="2" t="s">
        <v>1599</v>
      </c>
      <c r="C460" s="2"/>
      <c r="D460" s="2" t="s">
        <v>165</v>
      </c>
      <c r="E460" s="2" t="s">
        <v>64</v>
      </c>
      <c r="F460" s="3" t="s">
        <v>35</v>
      </c>
      <c r="G460" s="2"/>
      <c r="H460" s="2" t="s">
        <v>64</v>
      </c>
      <c r="I460" s="2" t="s">
        <v>36</v>
      </c>
      <c r="J460" s="2" t="s">
        <v>37</v>
      </c>
      <c r="K460" s="4" t="str">
        <f t="shared" si="43"/>
        <v>Abrir enlace</v>
      </c>
      <c r="L460" s="2" t="s">
        <v>1600</v>
      </c>
      <c r="M460" s="2"/>
      <c r="N460" s="2" t="s">
        <v>54</v>
      </c>
      <c r="O460" s="2"/>
      <c r="P460" s="4" t="str">
        <f t="shared" si="44"/>
        <v>Abrir enlace</v>
      </c>
      <c r="Q460" s="2"/>
      <c r="R460" s="2"/>
      <c r="S460" s="2"/>
      <c r="T460" s="2"/>
      <c r="U460" s="2"/>
      <c r="V460" s="2"/>
      <c r="W460" s="2"/>
      <c r="X460" s="2"/>
      <c r="Y460" s="2"/>
      <c r="Z460" s="2"/>
      <c r="AA460" s="2" t="s">
        <v>40</v>
      </c>
      <c r="AB460" s="2" t="s">
        <v>67</v>
      </c>
      <c r="AC460" s="2"/>
      <c r="AD460" s="2"/>
      <c r="AE460" s="2"/>
    </row>
    <row r="461" ht="15.75" customHeight="1">
      <c r="A461" s="2">
        <v>461.0</v>
      </c>
      <c r="B461" s="2" t="s">
        <v>1599</v>
      </c>
      <c r="C461" s="2"/>
      <c r="D461" s="2" t="s">
        <v>165</v>
      </c>
      <c r="E461" s="2" t="s">
        <v>64</v>
      </c>
      <c r="F461" s="3" t="s">
        <v>35</v>
      </c>
      <c r="G461" s="2"/>
      <c r="H461" s="2" t="s">
        <v>64</v>
      </c>
      <c r="I461" s="2" t="s">
        <v>36</v>
      </c>
      <c r="J461" s="2" t="s">
        <v>37</v>
      </c>
      <c r="K461" s="4" t="str">
        <f t="shared" si="43"/>
        <v>Abrir enlace</v>
      </c>
      <c r="L461" s="2" t="s">
        <v>1600</v>
      </c>
      <c r="M461" s="2"/>
      <c r="N461" s="2" t="s">
        <v>54</v>
      </c>
      <c r="O461" s="2"/>
      <c r="P461" s="4" t="str">
        <f t="shared" si="44"/>
        <v>Abrir enlace</v>
      </c>
      <c r="Q461" s="2"/>
      <c r="R461" s="2"/>
      <c r="S461" s="2"/>
      <c r="T461" s="2"/>
      <c r="U461" s="2"/>
      <c r="V461" s="2"/>
      <c r="W461" s="2"/>
      <c r="X461" s="2"/>
      <c r="Y461" s="2"/>
      <c r="Z461" s="2"/>
      <c r="AA461" s="2" t="s">
        <v>40</v>
      </c>
      <c r="AB461" s="2" t="s">
        <v>67</v>
      </c>
      <c r="AC461" s="2"/>
      <c r="AD461" s="2"/>
      <c r="AE461" s="2"/>
    </row>
    <row r="462" ht="15.75" customHeight="1">
      <c r="A462" s="2">
        <v>462.0</v>
      </c>
      <c r="B462" s="2" t="s">
        <v>1601</v>
      </c>
      <c r="C462" s="2" t="s">
        <v>1602</v>
      </c>
      <c r="D462" s="2" t="s">
        <v>33</v>
      </c>
      <c r="E462" s="2" t="s">
        <v>64</v>
      </c>
      <c r="F462" s="2" t="s">
        <v>35</v>
      </c>
      <c r="G462" s="2"/>
      <c r="H462" s="2" t="s">
        <v>64</v>
      </c>
      <c r="I462" s="2" t="s">
        <v>189</v>
      </c>
      <c r="J462" s="2" t="s">
        <v>1603</v>
      </c>
      <c r="K462" s="4" t="str">
        <f>HYPERLINK("https://archive.org/details/deleletteredimcl00tolo","Abrir enlace")</f>
        <v>Abrir enlace</v>
      </c>
      <c r="L462" s="2" t="s">
        <v>1604</v>
      </c>
      <c r="M462" s="2"/>
      <c r="N462" s="2" t="s">
        <v>91</v>
      </c>
      <c r="O462" s="2" t="s">
        <v>1605</v>
      </c>
      <c r="P462" s="4" t="str">
        <f>HYPERLINK("https://archive.org/details/deleletteredimcl00tolo","Abrir enlace")</f>
        <v>Abrir enlace</v>
      </c>
      <c r="Q462" s="2" t="s">
        <v>1606</v>
      </c>
      <c r="R462" s="2"/>
      <c r="S462" s="2" t="s">
        <v>91</v>
      </c>
      <c r="T462" s="2" t="s">
        <v>1607</v>
      </c>
      <c r="U462" s="4" t="str">
        <f>HYPERLINK("https://openlibrary.org/books/OL24875243M/De_le_lettere_di_m._Clavdio_Tolomei_lib._sette","Abrir enlace")</f>
        <v>Abrir enlace</v>
      </c>
      <c r="V462" s="2" t="s">
        <v>1608</v>
      </c>
      <c r="W462" s="2"/>
      <c r="X462" s="2" t="s">
        <v>91</v>
      </c>
      <c r="Y462" s="2" t="s">
        <v>1609</v>
      </c>
      <c r="Z462" s="4" t="str">
        <f>HYPERLINK("https://bibnum.institutdefrance.fr/records-relations/item/24667-de-le-lettere-di-m-claudio-tolomei-lib-sette-con-una-breve-dichiarazione-in-fine-di-tutto-l-ordin-de-l-ortografia-de"&amp;"-questa-opera-con-privilegio-del-sommo-pont-de-la-cesarae-mae-del-senato-veneto-e-del-duca-di-fiorenza-per-anni-dieci?offset=35","Abrir enlace")</f>
        <v>Abrir enlace</v>
      </c>
      <c r="AA462" s="2"/>
      <c r="AB462" s="2"/>
      <c r="AC462" s="2"/>
      <c r="AD462" s="2"/>
      <c r="AE462" s="2"/>
    </row>
    <row r="463" ht="15.75" customHeight="1">
      <c r="A463" s="2">
        <v>463.0</v>
      </c>
      <c r="B463" s="2" t="s">
        <v>1610</v>
      </c>
      <c r="C463" s="2" t="s">
        <v>1611</v>
      </c>
      <c r="D463" s="2" t="s">
        <v>49</v>
      </c>
      <c r="E463" s="2" t="s">
        <v>64</v>
      </c>
      <c r="F463" s="3" t="s">
        <v>35</v>
      </c>
      <c r="G463" s="2"/>
      <c r="H463" s="2" t="s">
        <v>64</v>
      </c>
      <c r="I463" s="2" t="s">
        <v>168</v>
      </c>
      <c r="J463" s="2" t="s">
        <v>1612</v>
      </c>
      <c r="K463" s="4" t="str">
        <f>HYPERLINK("https://openlibrary.org/works/OL1324562W","Abrir enlace")</f>
        <v>Abrir enlace</v>
      </c>
      <c r="L463" s="2" t="s">
        <v>1613</v>
      </c>
      <c r="M463" s="2"/>
      <c r="N463" s="2" t="s">
        <v>45</v>
      </c>
      <c r="O463" s="2"/>
      <c r="P463" s="4" t="str">
        <f>HYPERLINK("https://openlibrary.org/works/OL1324562W","Abrir enlace")</f>
        <v>Abrir enlace</v>
      </c>
      <c r="Q463" s="2"/>
      <c r="R463" s="2"/>
      <c r="S463" s="2"/>
      <c r="T463" s="2"/>
      <c r="U463" s="2"/>
      <c r="V463" s="2"/>
      <c r="W463" s="2"/>
      <c r="X463" s="2"/>
      <c r="Y463" s="2"/>
      <c r="Z463" s="2"/>
      <c r="AA463" s="2" t="s">
        <v>51</v>
      </c>
      <c r="AB463" s="2" t="s">
        <v>1614</v>
      </c>
      <c r="AC463" s="2"/>
      <c r="AD463" s="2"/>
      <c r="AE463" s="2"/>
    </row>
    <row r="464" ht="15.75" customHeight="1">
      <c r="A464" s="2">
        <v>464.0</v>
      </c>
      <c r="B464" s="2" t="s">
        <v>1615</v>
      </c>
      <c r="C464" s="2"/>
      <c r="D464" s="2" t="s">
        <v>165</v>
      </c>
      <c r="E464" s="2" t="s">
        <v>34</v>
      </c>
      <c r="F464" s="3" t="s">
        <v>35</v>
      </c>
      <c r="G464" s="2"/>
      <c r="H464" s="2" t="s">
        <v>34</v>
      </c>
      <c r="I464" s="2" t="s">
        <v>36</v>
      </c>
      <c r="J464" s="2" t="s">
        <v>37</v>
      </c>
      <c r="K464" s="4" t="str">
        <f>HYPERLINK("https://openlibrary.org/works/OL32834205W","Abrir enlace")</f>
        <v>Abrir enlace</v>
      </c>
      <c r="L464" s="2" t="s">
        <v>1615</v>
      </c>
      <c r="M464" s="2"/>
      <c r="N464" s="2" t="s">
        <v>45</v>
      </c>
      <c r="O464" s="2"/>
      <c r="P464" s="4" t="str">
        <f>HYPERLINK("https://openlibrary.org/works/OL32834205W","Abrir enlace")</f>
        <v>Abrir enlace</v>
      </c>
      <c r="Q464" s="2"/>
      <c r="R464" s="2"/>
      <c r="S464" s="2"/>
      <c r="T464" s="2"/>
      <c r="U464" s="2"/>
      <c r="V464" s="2"/>
      <c r="W464" s="2"/>
      <c r="X464" s="2"/>
      <c r="Y464" s="2"/>
      <c r="Z464" s="2"/>
      <c r="AA464" s="2" t="s">
        <v>60</v>
      </c>
      <c r="AB464" s="2" t="s">
        <v>41</v>
      </c>
      <c r="AC464" s="2"/>
      <c r="AD464" s="2"/>
      <c r="AE464" s="2"/>
    </row>
    <row r="465" ht="15.75" customHeight="1">
      <c r="A465" s="2">
        <v>465.0</v>
      </c>
      <c r="B465" s="2" t="s">
        <v>1616</v>
      </c>
      <c r="C465" s="2" t="s">
        <v>1617</v>
      </c>
      <c r="D465" s="2" t="s">
        <v>165</v>
      </c>
      <c r="E465" s="2" t="s">
        <v>34</v>
      </c>
      <c r="F465" s="3" t="s">
        <v>35</v>
      </c>
      <c r="G465" s="2"/>
      <c r="H465" s="2" t="s">
        <v>34</v>
      </c>
      <c r="I465" s="2" t="s">
        <v>189</v>
      </c>
      <c r="J465" s="2" t="s">
        <v>1618</v>
      </c>
      <c r="K465" s="4" t="str">
        <f>HYPERLINK("https://openlibrary.org/works/OL47151W","Abrir enlace")</f>
        <v>Abrir enlace</v>
      </c>
      <c r="L465" s="2" t="s">
        <v>1295</v>
      </c>
      <c r="M465" s="2"/>
      <c r="N465" s="2" t="s">
        <v>45</v>
      </c>
      <c r="O465" s="2"/>
      <c r="P465" s="4" t="str">
        <f>HYPERLINK("https://openlibrary.org/works/OL47151W","Abrir enlace")</f>
        <v>Abrir enlace</v>
      </c>
      <c r="Q465" s="2"/>
      <c r="R465" s="2"/>
      <c r="S465" s="2"/>
      <c r="T465" s="2"/>
      <c r="U465" s="2"/>
      <c r="V465" s="2"/>
      <c r="W465" s="2"/>
      <c r="X465" s="2"/>
      <c r="Y465" s="2"/>
      <c r="Z465" s="2"/>
      <c r="AA465" s="2" t="s">
        <v>46</v>
      </c>
      <c r="AB465" s="2" t="s">
        <v>343</v>
      </c>
      <c r="AC465" s="2"/>
      <c r="AD465" s="2"/>
      <c r="AE465" s="2"/>
    </row>
    <row r="466" ht="15.75" customHeight="1">
      <c r="A466" s="2">
        <v>466.0</v>
      </c>
      <c r="B466" s="2" t="s">
        <v>1619</v>
      </c>
      <c r="C466" s="2" t="s">
        <v>1620</v>
      </c>
      <c r="D466" s="2" t="s">
        <v>33</v>
      </c>
      <c r="E466" s="2" t="s">
        <v>64</v>
      </c>
      <c r="F466" s="2" t="s">
        <v>35</v>
      </c>
      <c r="G466" s="2"/>
      <c r="H466" s="2" t="s">
        <v>64</v>
      </c>
      <c r="I466" s="2" t="s">
        <v>36</v>
      </c>
      <c r="J466" s="2" t="s">
        <v>1621</v>
      </c>
      <c r="K466" s="4" t="str">
        <f>HYPERLINK("https://www.thriftbooks.com/w/lectiones-aristophaneae/16928088/","Abrir enlace")</f>
        <v>Abrir enlace</v>
      </c>
      <c r="L466" s="2" t="s">
        <v>1622</v>
      </c>
      <c r="M466" s="2"/>
      <c r="N466" s="2" t="s">
        <v>91</v>
      </c>
      <c r="O466" s="2" t="s">
        <v>1623</v>
      </c>
      <c r="P466" s="4" t="str">
        <f>HYPERLINK("https://www.thriftbooks.com/w/lectiones-aristophaneae/16928088/","Abrir enlace")</f>
        <v>Abrir enlace</v>
      </c>
      <c r="Q466" s="2" t="s">
        <v>1624</v>
      </c>
      <c r="R466" s="2"/>
      <c r="S466" s="2" t="s">
        <v>91</v>
      </c>
      <c r="T466" s="2" t="s">
        <v>1343</v>
      </c>
      <c r="U466" s="4" t="str">
        <f>HYPERLINK("https://www.alibris.com/Ludovici-Hotibii-Rigensis-Lectiones-Aristophaneae-Friedrich-Heinrich-Bothe/book/19537352","Abrir enlace")</f>
        <v>Abrir enlace</v>
      </c>
      <c r="V466" s="2" t="s">
        <v>1625</v>
      </c>
      <c r="W466" s="2"/>
      <c r="X466" s="2" t="s">
        <v>91</v>
      </c>
      <c r="Y466" s="2" t="s">
        <v>1626</v>
      </c>
      <c r="Z466" s="4" t="str">
        <f>HYPERLINK("https://www.podibooks.com/es/libro/ludovici-hotibii-lectiones-aristophaneae-ed-curavit-really-written-by-f-h-bothe_12215432","Abrir enlace")</f>
        <v>Abrir enlace</v>
      </c>
      <c r="AA466" s="2"/>
      <c r="AB466" s="2"/>
      <c r="AC466" s="2"/>
      <c r="AD466" s="2"/>
      <c r="AE466" s="2"/>
    </row>
    <row r="467" ht="15.75" customHeight="1">
      <c r="A467" s="2">
        <v>467.0</v>
      </c>
      <c r="B467" s="2" t="s">
        <v>1627</v>
      </c>
      <c r="C467" s="2" t="s">
        <v>1628</v>
      </c>
      <c r="D467" s="2" t="s">
        <v>99</v>
      </c>
      <c r="E467" s="2" t="s">
        <v>64</v>
      </c>
      <c r="F467" s="2" t="s">
        <v>35</v>
      </c>
      <c r="G467" s="2"/>
      <c r="H467" s="2" t="s">
        <v>64</v>
      </c>
      <c r="I467" s="2" t="s">
        <v>168</v>
      </c>
      <c r="J467" s="2" t="s">
        <v>1629</v>
      </c>
      <c r="K467" s="4" t="str">
        <f>HYPERLINK("https://archive.org/details/epistolaeioannis0003vari","Abrir enlace")</f>
        <v>Abrir enlace</v>
      </c>
      <c r="L467" s="2" t="s">
        <v>1630</v>
      </c>
      <c r="M467" s="2" t="s">
        <v>1631</v>
      </c>
      <c r="N467" s="2" t="s">
        <v>54</v>
      </c>
      <c r="O467" s="2" t="s">
        <v>1632</v>
      </c>
      <c r="P467" s="4" t="str">
        <f>HYPERLINK("https://archive.org/details/epistolaeioannis0003vari","Abrir enlace")</f>
        <v>Abrir enlace</v>
      </c>
      <c r="Q467" s="2" t="s">
        <v>1633</v>
      </c>
      <c r="R467" s="2" t="s">
        <v>1634</v>
      </c>
      <c r="S467" s="2" t="s">
        <v>54</v>
      </c>
      <c r="T467" s="2" t="s">
        <v>1632</v>
      </c>
      <c r="U467" s="4" t="str">
        <f>HYPERLINK("https://archive.org/details/bub_gb_xiozc5pzKJUC","Abrir enlace")</f>
        <v>Abrir enlace</v>
      </c>
      <c r="V467" s="2" t="s">
        <v>1635</v>
      </c>
      <c r="W467" s="2" t="s">
        <v>1636</v>
      </c>
      <c r="X467" s="2" t="s">
        <v>54</v>
      </c>
      <c r="Y467" s="2" t="s">
        <v>1632</v>
      </c>
      <c r="Z467" s="4" t="str">
        <f>HYPERLINK("https://archive.org/details/bub_gb_ThwR3a2fjYEC","Abrir enlace")</f>
        <v>Abrir enlace</v>
      </c>
      <c r="AA467" s="2"/>
      <c r="AB467" s="2"/>
      <c r="AC467" s="2"/>
      <c r="AD467" s="2"/>
      <c r="AE467" s="2"/>
    </row>
    <row r="468" ht="15.75" customHeight="1">
      <c r="A468" s="2">
        <v>468.0</v>
      </c>
      <c r="B468" s="2" t="s">
        <v>1294</v>
      </c>
      <c r="C468" s="2" t="s">
        <v>1637</v>
      </c>
      <c r="D468" s="2" t="s">
        <v>99</v>
      </c>
      <c r="E468" s="2" t="s">
        <v>64</v>
      </c>
      <c r="F468" s="2" t="s">
        <v>35</v>
      </c>
      <c r="G468" s="2"/>
      <c r="H468" s="2" t="s">
        <v>64</v>
      </c>
      <c r="I468" s="2" t="s">
        <v>36</v>
      </c>
      <c r="J468" s="2" t="s">
        <v>1570</v>
      </c>
      <c r="K468" s="4" t="str">
        <f>HYPERLINK("https://www.gutenberg.org/ebooks/40164","Abrir enlace")</f>
        <v>Abrir enlace</v>
      </c>
      <c r="L468" s="2" t="s">
        <v>1638</v>
      </c>
      <c r="M468" s="2" t="s">
        <v>1639</v>
      </c>
      <c r="N468" s="2" t="s">
        <v>1640</v>
      </c>
      <c r="O468" s="2" t="s">
        <v>1641</v>
      </c>
      <c r="P468" s="4" t="str">
        <f>HYPERLINK("https://www.gutenberg.org/ebooks/40164","Abrir enlace")</f>
        <v>Abrir enlace</v>
      </c>
      <c r="Q468" s="2" t="s">
        <v>1642</v>
      </c>
      <c r="R468" s="2" t="s">
        <v>1643</v>
      </c>
      <c r="S468" s="2" t="s">
        <v>45</v>
      </c>
      <c r="T468" s="2" t="s">
        <v>1644</v>
      </c>
      <c r="U468" s="4" t="str">
        <f>HYPERLINK("https://openlibrary.org/works/OL19741544W","Abrir enlace")</f>
        <v>Abrir enlace</v>
      </c>
      <c r="V468" s="2" t="s">
        <v>1645</v>
      </c>
      <c r="W468" s="2" t="s">
        <v>1646</v>
      </c>
      <c r="X468" s="2" t="s">
        <v>45</v>
      </c>
      <c r="Y468" s="2" t="s">
        <v>1647</v>
      </c>
      <c r="Z468" s="4" t="str">
        <f>HYPERLINK("https://openlibrary.org/works/OL1152115W","Abrir enlace")</f>
        <v>Abrir enlace</v>
      </c>
      <c r="AA468" s="2"/>
      <c r="AB468" s="2"/>
      <c r="AC468" s="2"/>
      <c r="AD468" s="2"/>
      <c r="AE468" s="2"/>
    </row>
    <row r="469" ht="15.75" customHeight="1">
      <c r="A469" s="2">
        <v>469.0</v>
      </c>
      <c r="B469" s="2" t="s">
        <v>1294</v>
      </c>
      <c r="C469" s="2" t="s">
        <v>1637</v>
      </c>
      <c r="D469" s="2" t="s">
        <v>99</v>
      </c>
      <c r="E469" s="2" t="s">
        <v>64</v>
      </c>
      <c r="F469" s="2" t="s">
        <v>35</v>
      </c>
      <c r="G469" s="2"/>
      <c r="H469" s="2" t="s">
        <v>64</v>
      </c>
      <c r="I469" s="2" t="s">
        <v>36</v>
      </c>
      <c r="J469" s="2" t="s">
        <v>1570</v>
      </c>
      <c r="K469" s="2" t="s">
        <v>757</v>
      </c>
      <c r="L469" s="2" t="s">
        <v>1638</v>
      </c>
      <c r="M469" s="2" t="s">
        <v>1639</v>
      </c>
      <c r="N469" s="2" t="s">
        <v>1640</v>
      </c>
      <c r="O469" s="2" t="s">
        <v>1641</v>
      </c>
      <c r="P469" s="2" t="s">
        <v>757</v>
      </c>
      <c r="Q469" s="2" t="s">
        <v>1642</v>
      </c>
      <c r="R469" s="2" t="s">
        <v>1643</v>
      </c>
      <c r="S469" s="2" t="s">
        <v>45</v>
      </c>
      <c r="T469" s="2" t="s">
        <v>1644</v>
      </c>
      <c r="U469" s="2" t="s">
        <v>757</v>
      </c>
      <c r="V469" s="2" t="s">
        <v>1645</v>
      </c>
      <c r="W469" s="2" t="s">
        <v>1646</v>
      </c>
      <c r="X469" s="2" t="s">
        <v>45</v>
      </c>
      <c r="Y469" s="2" t="s">
        <v>1647</v>
      </c>
      <c r="Z469" s="2" t="s">
        <v>757</v>
      </c>
      <c r="AA469" s="2"/>
      <c r="AB469" s="2"/>
      <c r="AC469" s="2"/>
      <c r="AD469" s="2"/>
      <c r="AE469" s="2"/>
    </row>
    <row r="470" ht="15.75" customHeight="1">
      <c r="A470" s="2">
        <v>470.0</v>
      </c>
      <c r="B470" s="2" t="s">
        <v>1648</v>
      </c>
      <c r="C470" s="2" t="s">
        <v>1649</v>
      </c>
      <c r="D470" s="2" t="s">
        <v>33</v>
      </c>
      <c r="E470" s="2" t="s">
        <v>64</v>
      </c>
      <c r="F470" s="2" t="s">
        <v>35</v>
      </c>
      <c r="G470" s="2"/>
      <c r="H470" s="2" t="s">
        <v>64</v>
      </c>
      <c r="I470" s="2" t="s">
        <v>36</v>
      </c>
      <c r="J470" s="2" t="s">
        <v>1650</v>
      </c>
      <c r="K470" s="4" t="str">
        <f>HYPERLINK("https://books.google.com/books/about/Arte_del_verso_italiano_con_le_tauole_de.html?id=bjJQS7ShMrkC","Abrir enlace")</f>
        <v>Abrir enlace</v>
      </c>
      <c r="L470" s="2" t="s">
        <v>1651</v>
      </c>
      <c r="M470" s="2"/>
      <c r="N470" s="2" t="s">
        <v>91</v>
      </c>
      <c r="O470" s="2" t="s">
        <v>1652</v>
      </c>
      <c r="P470" s="4" t="str">
        <f>HYPERLINK("https://books.google.com/books/about/Arte_del_verso_italiano_con_le_tauole_de.html?id=bjJQS7ShMrkC","Abrir enlace")</f>
        <v>Abrir enlace</v>
      </c>
      <c r="Q470" s="2" t="s">
        <v>1653</v>
      </c>
      <c r="R470" s="2"/>
      <c r="S470" s="2" t="s">
        <v>91</v>
      </c>
      <c r="T470" s="2" t="s">
        <v>1654</v>
      </c>
      <c r="U470" s="4" t="str">
        <f>HYPERLINK("https://archive.org/details/imgGXIII339MiscellaneaOpal","Abrir enlace")</f>
        <v>Abrir enlace</v>
      </c>
      <c r="V470" s="2" t="s">
        <v>1655</v>
      </c>
      <c r="W470" s="2"/>
      <c r="X470" s="2" t="s">
        <v>91</v>
      </c>
      <c r="Y470" s="2" t="s">
        <v>1656</v>
      </c>
      <c r="Z470" s="4" t="str">
        <f>HYPERLINK("https://unitesi.unipv.it/handle/20.500.14239/8911","Abrir enlace")</f>
        <v>Abrir enlace</v>
      </c>
      <c r="AA470" s="2"/>
      <c r="AB470" s="2"/>
      <c r="AC470" s="2"/>
      <c r="AD470" s="2"/>
      <c r="AE470" s="2"/>
    </row>
    <row r="471" ht="15.75" customHeight="1">
      <c r="A471" s="2">
        <v>471.0</v>
      </c>
      <c r="B471" s="2" t="s">
        <v>1657</v>
      </c>
      <c r="C471" s="2" t="s">
        <v>1658</v>
      </c>
      <c r="D471" s="2" t="s">
        <v>33</v>
      </c>
      <c r="E471" s="2" t="s">
        <v>64</v>
      </c>
      <c r="F471" s="3" t="s">
        <v>35</v>
      </c>
      <c r="G471" s="2"/>
      <c r="H471" s="2" t="s">
        <v>64</v>
      </c>
      <c r="I471" s="2" t="s">
        <v>36</v>
      </c>
      <c r="J471" s="2" t="s">
        <v>37</v>
      </c>
      <c r="K471" s="4" t="str">
        <f>HYPERLINK("https://openlibrary.org/works/OL4528961W","Abrir enlace")</f>
        <v>Abrir enlace</v>
      </c>
      <c r="L471" s="2" t="s">
        <v>1657</v>
      </c>
      <c r="M471" s="2"/>
      <c r="N471" s="2" t="s">
        <v>45</v>
      </c>
      <c r="O471" s="2"/>
      <c r="P471" s="4" t="str">
        <f>HYPERLINK("https://openlibrary.org/works/OL4528961W","Abrir enlace")</f>
        <v>Abrir enlace</v>
      </c>
      <c r="Q471" s="2"/>
      <c r="R471" s="2"/>
      <c r="S471" s="2"/>
      <c r="T471" s="2"/>
      <c r="U471" s="2"/>
      <c r="V471" s="2"/>
      <c r="W471" s="2"/>
      <c r="X471" s="2"/>
      <c r="Y471" s="2"/>
      <c r="Z471" s="2"/>
      <c r="AA471" s="2" t="s">
        <v>46</v>
      </c>
      <c r="AB471" s="2" t="s">
        <v>67</v>
      </c>
      <c r="AC471" s="2"/>
      <c r="AD471" s="2"/>
      <c r="AE471" s="2"/>
    </row>
    <row r="472" ht="15.75" customHeight="1">
      <c r="A472" s="2">
        <v>472.0</v>
      </c>
      <c r="B472" s="2" t="s">
        <v>1659</v>
      </c>
      <c r="C472" s="2" t="s">
        <v>1660</v>
      </c>
      <c r="D472" s="2" t="s">
        <v>99</v>
      </c>
      <c r="E472" s="2" t="s">
        <v>64</v>
      </c>
      <c r="F472" s="2" t="s">
        <v>35</v>
      </c>
      <c r="G472" s="2"/>
      <c r="H472" s="2" t="s">
        <v>64</v>
      </c>
      <c r="I472" s="2" t="s">
        <v>36</v>
      </c>
      <c r="J472" s="2" t="s">
        <v>1661</v>
      </c>
      <c r="K472" s="4" t="str">
        <f>HYPERLINK("https://en-academic.com/dic.nsf/enwiki/129950","Abrir enlace")</f>
        <v>Abrir enlace</v>
      </c>
      <c r="L472" s="2" t="s">
        <v>1662</v>
      </c>
      <c r="M472" s="2"/>
      <c r="N472" s="2" t="s">
        <v>91</v>
      </c>
      <c r="O472" s="2" t="s">
        <v>1663</v>
      </c>
      <c r="P472" s="4" t="str">
        <f>HYPERLINK("https://en-academic.com/dic.nsf/enwiki/129950","Abrir enlace")</f>
        <v>Abrir enlace</v>
      </c>
      <c r="Q472" s="2" t="s">
        <v>1664</v>
      </c>
      <c r="R472" s="2"/>
      <c r="S472" s="2" t="s">
        <v>91</v>
      </c>
      <c r="T472" s="2" t="s">
        <v>1663</v>
      </c>
      <c r="U472" s="4" t="str">
        <f>HYPERLINK("https://archive.org/details/mmoiresdemonsi01peti","Abrir enlace")</f>
        <v>Abrir enlace</v>
      </c>
      <c r="V472" s="2" t="s">
        <v>1665</v>
      </c>
      <c r="W472" s="2" t="s">
        <v>1666</v>
      </c>
      <c r="X472" s="2" t="s">
        <v>54</v>
      </c>
      <c r="Y472" s="2" t="s">
        <v>1667</v>
      </c>
      <c r="Z472" s="4" t="str">
        <f>HYPERLINK("https://archive.org/details/charlesdorleansp0000pier_x1u2","Abrir enlace")</f>
        <v>Abrir enlace</v>
      </c>
      <c r="AA472" s="2"/>
      <c r="AB472" s="2"/>
      <c r="AC472" s="2"/>
      <c r="AD472" s="2"/>
      <c r="AE472" s="2"/>
    </row>
    <row r="473" ht="15.75" customHeight="1">
      <c r="A473" s="2">
        <v>473.0</v>
      </c>
      <c r="B473" s="2" t="s">
        <v>1668</v>
      </c>
      <c r="C473" s="2" t="s">
        <v>1669</v>
      </c>
      <c r="D473" s="2" t="s">
        <v>33</v>
      </c>
      <c r="E473" s="2" t="s">
        <v>64</v>
      </c>
      <c r="F473" s="2" t="s">
        <v>35</v>
      </c>
      <c r="G473" s="2"/>
      <c r="H473" s="2" t="s">
        <v>64</v>
      </c>
      <c r="I473" s="2" t="s">
        <v>36</v>
      </c>
      <c r="J473" s="2" t="s">
        <v>1670</v>
      </c>
      <c r="K473" s="4" t="str">
        <f>HYPERLINK("https://archive.org/details/bub_gb_7k24XwtwUGgC","Abrir enlace")</f>
        <v>Abrir enlace</v>
      </c>
      <c r="L473" s="2" t="s">
        <v>1671</v>
      </c>
      <c r="M473" s="2"/>
      <c r="N473" s="2" t="s">
        <v>91</v>
      </c>
      <c r="O473" s="2" t="s">
        <v>673</v>
      </c>
      <c r="P473" s="4" t="str">
        <f>HYPERLINK("https://archive.org/details/bub_gb_7k24XwtwUGgC","Abrir enlace")</f>
        <v>Abrir enlace</v>
      </c>
      <c r="Q473" s="2" t="s">
        <v>1672</v>
      </c>
      <c r="R473" s="2"/>
      <c r="S473" s="2" t="s">
        <v>91</v>
      </c>
      <c r="T473" s="2" t="s">
        <v>480</v>
      </c>
      <c r="U473" s="4" t="str">
        <f>HYPERLINK("https://books.google.com/books/about/La_religion_poème_par_Racine_fils.html?id=7k24XwtwUGgC","Abrir enlace")</f>
        <v>Abrir enlace</v>
      </c>
      <c r="V473" s="2" t="s">
        <v>1673</v>
      </c>
      <c r="W473" s="2"/>
      <c r="X473" s="2" t="s">
        <v>91</v>
      </c>
      <c r="Y473" s="2" t="s">
        <v>1423</v>
      </c>
      <c r="Z473" s="4" t="str">
        <f>HYPERLINK("https://ia600301.us.archive.org/6/items/bub_gb_7k24XwtwUGgC/bub_gb_7k24XwtwUGgC.pdf","Abrir enlace")</f>
        <v>Abrir enlace</v>
      </c>
      <c r="AA473" s="2"/>
      <c r="AB473" s="2"/>
      <c r="AC473" s="2"/>
      <c r="AD473" s="2"/>
      <c r="AE473" s="2"/>
    </row>
    <row r="474" ht="15.75" customHeight="1">
      <c r="A474" s="2">
        <v>474.0</v>
      </c>
      <c r="B474" s="2" t="s">
        <v>1674</v>
      </c>
      <c r="C474" s="2" t="s">
        <v>1675</v>
      </c>
      <c r="D474" s="2" t="s">
        <v>33</v>
      </c>
      <c r="E474" s="2" t="s">
        <v>64</v>
      </c>
      <c r="F474" s="2" t="s">
        <v>35</v>
      </c>
      <c r="G474" s="2"/>
      <c r="H474" s="2" t="s">
        <v>64</v>
      </c>
      <c r="I474" s="2" t="s">
        <v>189</v>
      </c>
      <c r="J474" s="2" t="s">
        <v>1676</v>
      </c>
      <c r="K474" s="4" t="str">
        <f>HYPERLINK("https://books.google.com/books/about/Ragionamento_del_padre_Ireneo_Affò_regi.html?id=59YNk7RX7moC","Abrir enlace")</f>
        <v>Abrir enlace</v>
      </c>
      <c r="L474" s="2" t="s">
        <v>1677</v>
      </c>
      <c r="M474" s="2"/>
      <c r="N474" s="2" t="s">
        <v>91</v>
      </c>
      <c r="O474" s="2" t="s">
        <v>1678</v>
      </c>
      <c r="P474" s="4" t="str">
        <f>HYPERLINK("https://books.google.com/books/about/Ragionamento_del_padre_Ireneo_Affò_regi.html?id=59YNk7RX7moC","Abrir enlace")</f>
        <v>Abrir enlace</v>
      </c>
      <c r="Q474" s="2" t="s">
        <v>1679</v>
      </c>
      <c r="R474" s="2"/>
      <c r="S474" s="2" t="s">
        <v>91</v>
      </c>
      <c r="T474" s="2" t="s">
        <v>1680</v>
      </c>
      <c r="U474" s="4" t="str">
        <f>HYPERLINK("https://archive.org/details/gri_33125010885446","Abrir enlace")</f>
        <v>Abrir enlace</v>
      </c>
      <c r="V474" s="2" t="s">
        <v>1681</v>
      </c>
      <c r="W474" s="2" t="s">
        <v>1682</v>
      </c>
      <c r="X474" s="2" t="s">
        <v>54</v>
      </c>
      <c r="Y474" s="2" t="s">
        <v>1522</v>
      </c>
      <c r="Z474" s="4" t="str">
        <f>HYPERLINK("https://archive.org/details/preescolarguiade0000barc","Abrir enlace")</f>
        <v>Abrir enlace</v>
      </c>
      <c r="AA474" s="2"/>
      <c r="AB474" s="2"/>
      <c r="AC474" s="2"/>
      <c r="AD474" s="2"/>
      <c r="AE474" s="2"/>
    </row>
    <row r="475" ht="15.75" customHeight="1">
      <c r="A475" s="2">
        <v>475.0</v>
      </c>
      <c r="B475" s="2" t="s">
        <v>1683</v>
      </c>
      <c r="C475" s="2" t="s">
        <v>1684</v>
      </c>
      <c r="D475" s="2" t="s">
        <v>33</v>
      </c>
      <c r="E475" s="2" t="s">
        <v>70</v>
      </c>
      <c r="F475" s="2" t="s">
        <v>35</v>
      </c>
      <c r="G475" s="2"/>
      <c r="H475" s="2" t="s">
        <v>70</v>
      </c>
      <c r="I475" s="2" t="s">
        <v>36</v>
      </c>
      <c r="J475" s="2" t="s">
        <v>1685</v>
      </c>
      <c r="K475" s="4" t="str">
        <f>HYPERLINK("https://wellcomecollection.org/works/m73566e7","Abrir enlace")</f>
        <v>Abrir enlace</v>
      </c>
      <c r="L475" s="2" t="s">
        <v>1686</v>
      </c>
      <c r="M475" s="2"/>
      <c r="N475" s="2" t="s">
        <v>91</v>
      </c>
      <c r="O475" s="2" t="s">
        <v>1687</v>
      </c>
      <c r="P475" s="4" t="str">
        <f>HYPERLINK("https://wellcomecollection.org/works/m73566e7","Abrir enlace")</f>
        <v>Abrir enlace</v>
      </c>
      <c r="Q475" s="2" t="s">
        <v>1688</v>
      </c>
      <c r="R475" s="2"/>
      <c r="S475" s="2" t="s">
        <v>91</v>
      </c>
      <c r="T475" s="2" t="s">
        <v>1689</v>
      </c>
      <c r="U475" s="4" t="str">
        <f>HYPERLINK("https://www.amazon.com/Medicina-Curativa-Purgación-Enfermedades-Analizada/dp/1245581376","Abrir enlace")</f>
        <v>Abrir enlace</v>
      </c>
      <c r="V475" s="2" t="s">
        <v>1690</v>
      </c>
      <c r="W475" s="2" t="s">
        <v>1691</v>
      </c>
      <c r="X475" s="2" t="s">
        <v>54</v>
      </c>
      <c r="Y475" s="2" t="s">
        <v>1692</v>
      </c>
      <c r="Z475" s="4" t="str">
        <f>HYPERLINK("https://archive.org/details/b2930443x","Abrir enlace")</f>
        <v>Abrir enlace</v>
      </c>
      <c r="AA475" s="2"/>
      <c r="AB475" s="2"/>
      <c r="AC475" s="2"/>
      <c r="AD475" s="2"/>
      <c r="AE475" s="2"/>
    </row>
    <row r="476" ht="15.75" customHeight="1">
      <c r="A476" s="2">
        <v>476.0</v>
      </c>
      <c r="B476" s="2" t="s">
        <v>1693</v>
      </c>
      <c r="C476" s="2" t="s">
        <v>1694</v>
      </c>
      <c r="D476" s="2" t="s">
        <v>33</v>
      </c>
      <c r="E476" s="2" t="s">
        <v>34</v>
      </c>
      <c r="F476" s="2" t="s">
        <v>35</v>
      </c>
      <c r="G476" s="2"/>
      <c r="H476" s="2" t="s">
        <v>34</v>
      </c>
      <c r="I476" s="2" t="s">
        <v>36</v>
      </c>
      <c r="J476" s="2" t="s">
        <v>1695</v>
      </c>
      <c r="K476" s="4" t="str">
        <f>HYPERLINK("https://gallica.bnf.fr/ark:/12148/bpt6k6568847q.texteImage","Abrir enlace")</f>
        <v>Abrir enlace</v>
      </c>
      <c r="L476" s="2" t="s">
        <v>1696</v>
      </c>
      <c r="M476" s="2" t="s">
        <v>1697</v>
      </c>
      <c r="N476" s="2" t="s">
        <v>45</v>
      </c>
      <c r="O476" s="2" t="s">
        <v>1698</v>
      </c>
      <c r="P476" s="4" t="str">
        <f>HYPERLINK("https://gallica.bnf.fr/ark:/12148/bpt6k6568847q.texteImage","Abrir enlace")</f>
        <v>Abrir enlace</v>
      </c>
      <c r="Q476" s="2" t="s">
        <v>1699</v>
      </c>
      <c r="R476" s="2"/>
      <c r="S476" s="2" t="s">
        <v>45</v>
      </c>
      <c r="T476" s="2" t="s">
        <v>1341</v>
      </c>
      <c r="U476" s="4" t="str">
        <f>HYPERLINK("https://openlibrary.org/works/OL22997956W","Abrir enlace")</f>
        <v>Abrir enlace</v>
      </c>
      <c r="V476" s="2" t="s">
        <v>1700</v>
      </c>
      <c r="W476" s="2" t="s">
        <v>1701</v>
      </c>
      <c r="X476" s="2" t="s">
        <v>45</v>
      </c>
      <c r="Y476" s="2" t="s">
        <v>1702</v>
      </c>
      <c r="Z476" s="4" t="str">
        <f>HYPERLINK("https://openlibrary.org/works/OL44398299W","Abrir enlace")</f>
        <v>Abrir enlace</v>
      </c>
      <c r="AA476" s="2"/>
      <c r="AB476" s="2"/>
      <c r="AC476" s="2"/>
      <c r="AD476" s="2"/>
      <c r="AE476" s="2"/>
    </row>
    <row r="477" ht="15.75" customHeight="1">
      <c r="A477" s="2">
        <v>477.0</v>
      </c>
      <c r="B477" s="2" t="s">
        <v>1703</v>
      </c>
      <c r="C477" s="2" t="s">
        <v>1704</v>
      </c>
      <c r="D477" s="2" t="s">
        <v>99</v>
      </c>
      <c r="E477" s="2" t="s">
        <v>64</v>
      </c>
      <c r="F477" s="2" t="s">
        <v>35</v>
      </c>
      <c r="G477" s="2"/>
      <c r="H477" s="2" t="s">
        <v>64</v>
      </c>
      <c r="I477" s="2" t="s">
        <v>36</v>
      </c>
      <c r="J477" s="2" t="s">
        <v>1505</v>
      </c>
      <c r="K477" s="4" t="str">
        <f>HYPERLINK("https://openlibrary.org/works/OL18727934M","Abrir enlace")</f>
        <v>Abrir enlace</v>
      </c>
      <c r="L477" s="2" t="s">
        <v>1703</v>
      </c>
      <c r="M477" s="2" t="s">
        <v>1705</v>
      </c>
      <c r="N477" s="2" t="s">
        <v>45</v>
      </c>
      <c r="O477" s="2" t="s">
        <v>1641</v>
      </c>
      <c r="P477" s="4" t="str">
        <f>HYPERLINK("https://openlibrary.org/works/OL18727934M","Abrir enlace")</f>
        <v>Abrir enlace</v>
      </c>
      <c r="Q477" s="2" t="s">
        <v>1706</v>
      </c>
      <c r="R477" s="2" t="s">
        <v>1707</v>
      </c>
      <c r="S477" s="2" t="s">
        <v>54</v>
      </c>
      <c r="T477" s="2" t="s">
        <v>1692</v>
      </c>
      <c r="U477" s="4" t="str">
        <f>HYPERLINK("https://archive.org/details/eldeportedecriar0000oyuk","Abrir enlace")</f>
        <v>Abrir enlace</v>
      </c>
      <c r="V477" s="2" t="s">
        <v>1708</v>
      </c>
      <c r="W477" s="2" t="s">
        <v>1709</v>
      </c>
      <c r="X477" s="2" t="s">
        <v>54</v>
      </c>
      <c r="Y477" s="2" t="s">
        <v>1710</v>
      </c>
      <c r="Z477" s="4" t="str">
        <f>HYPERLINK("https://archive.org/details/montero_tesis","Abrir enlace")</f>
        <v>Abrir enlace</v>
      </c>
      <c r="AA477" s="2"/>
      <c r="AB477" s="2"/>
      <c r="AC477" s="2"/>
      <c r="AD477" s="2"/>
      <c r="AE477" s="2"/>
    </row>
    <row r="478" ht="15.75" customHeight="1">
      <c r="A478" s="2">
        <v>478.0</v>
      </c>
      <c r="B478" s="2" t="s">
        <v>1711</v>
      </c>
      <c r="C478" s="2" t="s">
        <v>1712</v>
      </c>
      <c r="D478" s="2" t="s">
        <v>99</v>
      </c>
      <c r="E478" s="2" t="s">
        <v>64</v>
      </c>
      <c r="F478" s="2" t="s">
        <v>35</v>
      </c>
      <c r="G478" s="2"/>
      <c r="H478" s="2" t="s">
        <v>64</v>
      </c>
      <c r="I478" s="2" t="s">
        <v>36</v>
      </c>
      <c r="J478" s="2" t="s">
        <v>1713</v>
      </c>
      <c r="K478" s="4" t="str">
        <f>HYPERLINK("https://openlibrary.org/works/OL15237449W","Abrir enlace")</f>
        <v>Abrir enlace</v>
      </c>
      <c r="L478" s="2" t="s">
        <v>1711</v>
      </c>
      <c r="M478" s="2" t="s">
        <v>1714</v>
      </c>
      <c r="N478" s="2" t="s">
        <v>45</v>
      </c>
      <c r="O478" s="2" t="s">
        <v>1641</v>
      </c>
      <c r="P478" s="4" t="str">
        <f>HYPERLINK("https://openlibrary.org/works/OL15237449W","Abrir enlace")</f>
        <v>Abrir enlace</v>
      </c>
      <c r="Q478" s="2" t="s">
        <v>1715</v>
      </c>
      <c r="R478" s="2"/>
      <c r="S478" s="2" t="s">
        <v>91</v>
      </c>
      <c r="T478" s="2" t="s">
        <v>1716</v>
      </c>
      <c r="U478" s="4" t="str">
        <f>HYPERLINK("https://books.google.com/books/about/P_Vergilius_Maro.html?id=k8AY0AEACAAJ","Abrir enlace")</f>
        <v>Abrir enlace</v>
      </c>
      <c r="V478" s="2" t="s">
        <v>1717</v>
      </c>
      <c r="W478" s="2"/>
      <c r="X478" s="2" t="s">
        <v>91</v>
      </c>
      <c r="Y478" s="2" t="s">
        <v>1718</v>
      </c>
      <c r="Z478" s="4" t="str">
        <f>HYPERLINK("https://archive.org/details/pvergiliusmaro01virggoog","Abrir enlace")</f>
        <v>Abrir enlace</v>
      </c>
      <c r="AA478" s="2"/>
      <c r="AB478" s="2"/>
      <c r="AC478" s="2"/>
      <c r="AD478" s="2"/>
      <c r="AE478" s="2"/>
    </row>
    <row r="479" ht="15.75" customHeight="1">
      <c r="A479" s="2">
        <v>479.0</v>
      </c>
      <c r="B479" s="2" t="s">
        <v>1719</v>
      </c>
      <c r="C479" s="2" t="s">
        <v>1720</v>
      </c>
      <c r="D479" s="2" t="s">
        <v>99</v>
      </c>
      <c r="E479" s="2" t="s">
        <v>64</v>
      </c>
      <c r="F479" s="2" t="s">
        <v>35</v>
      </c>
      <c r="G479" s="2"/>
      <c r="H479" s="2" t="s">
        <v>64</v>
      </c>
      <c r="I479" s="2" t="s">
        <v>189</v>
      </c>
      <c r="J479" s="2" t="s">
        <v>1721</v>
      </c>
      <c r="K479" s="4" t="str">
        <f>HYPERLINK("https://ia903104.us.archive.org/18/items/bub_gb_TTxHAAUWgt4C/bub_gb_TTxHAAUWgt4C.pdf","Abrir enlace")</f>
        <v>Abrir enlace</v>
      </c>
      <c r="L479" s="2" t="s">
        <v>1722</v>
      </c>
      <c r="M479" s="2"/>
      <c r="N479" s="2" t="s">
        <v>91</v>
      </c>
      <c r="O479" s="2" t="s">
        <v>902</v>
      </c>
      <c r="P479" s="4" t="str">
        <f>HYPERLINK("https://ia903104.us.archive.org/18/items/bub_gb_TTxHAAUWgt4C/bub_gb_TTxHAAUWgt4C.pdf","Abrir enlace")</f>
        <v>Abrir enlace</v>
      </c>
      <c r="Q479" s="2" t="s">
        <v>1723</v>
      </c>
      <c r="R479" s="2"/>
      <c r="S479" s="2" t="s">
        <v>91</v>
      </c>
      <c r="T479" s="2" t="s">
        <v>1623</v>
      </c>
      <c r="U479" s="4" t="str">
        <f>HYPERLINK("https://www.facebook.com/roberto.viro/","Abrir enlace")</f>
        <v>Abrir enlace</v>
      </c>
      <c r="V479" s="2" t="s">
        <v>1724</v>
      </c>
      <c r="W479" s="2"/>
      <c r="X479" s="2" t="s">
        <v>91</v>
      </c>
      <c r="Y479" s="2" t="s">
        <v>1725</v>
      </c>
      <c r="Z479" s="4" t="str">
        <f>HYPERLINK("https://archive.org/details/pearltoindialife0000cron","Abrir enlace")</f>
        <v>Abrir enlace</v>
      </c>
      <c r="AA479" s="2"/>
      <c r="AB479" s="2"/>
      <c r="AC479" s="2"/>
      <c r="AD479" s="2"/>
      <c r="AE479" s="2"/>
    </row>
    <row r="480" ht="15.75" customHeight="1">
      <c r="A480" s="2">
        <v>480.0</v>
      </c>
      <c r="B480" s="2" t="s">
        <v>1726</v>
      </c>
      <c r="C480" s="2"/>
      <c r="D480" s="2" t="s">
        <v>49</v>
      </c>
      <c r="E480" s="2" t="s">
        <v>112</v>
      </c>
      <c r="F480" s="3" t="s">
        <v>35</v>
      </c>
      <c r="G480" s="2"/>
      <c r="H480" s="2" t="s">
        <v>112</v>
      </c>
      <c r="I480" s="2" t="s">
        <v>36</v>
      </c>
      <c r="J480" s="2" t="s">
        <v>37</v>
      </c>
      <c r="K480" s="4" t="str">
        <f>HYPERLINK("https://openlibrary.org/works/OL43885730W","Abrir enlace")</f>
        <v>Abrir enlace</v>
      </c>
      <c r="L480" s="2" t="s">
        <v>1726</v>
      </c>
      <c r="M480" s="2"/>
      <c r="N480" s="2" t="s">
        <v>45</v>
      </c>
      <c r="O480" s="2"/>
      <c r="P480" s="4" t="str">
        <f>HYPERLINK("https://openlibrary.org/works/OL43885730W","Abrir enlace")</f>
        <v>Abrir enlace</v>
      </c>
      <c r="Q480" s="2"/>
      <c r="R480" s="2"/>
      <c r="S480" s="2"/>
      <c r="T480" s="2"/>
      <c r="U480" s="2"/>
      <c r="V480" s="2"/>
      <c r="W480" s="2"/>
      <c r="X480" s="2"/>
      <c r="Y480" s="2"/>
      <c r="Z480" s="2"/>
      <c r="AA480" s="2" t="s">
        <v>40</v>
      </c>
      <c r="AB480" s="2" t="s">
        <v>114</v>
      </c>
      <c r="AC480" s="2"/>
      <c r="AD480" s="2"/>
      <c r="AE480" s="2"/>
    </row>
    <row r="481" ht="15.75" customHeight="1">
      <c r="A481" s="2">
        <v>481.0</v>
      </c>
      <c r="B481" s="2" t="s">
        <v>1727</v>
      </c>
      <c r="C481" s="2"/>
      <c r="D481" s="2" t="s">
        <v>49</v>
      </c>
      <c r="E481" s="2" t="s">
        <v>34</v>
      </c>
      <c r="F481" s="3" t="s">
        <v>35</v>
      </c>
      <c r="G481" s="2"/>
      <c r="H481" s="2" t="s">
        <v>34</v>
      </c>
      <c r="I481" s="2" t="s">
        <v>36</v>
      </c>
      <c r="J481" s="2" t="s">
        <v>37</v>
      </c>
      <c r="K481" s="4" t="str">
        <f>HYPERLINK("https://openlibrary.org/works/OL20966583W","Abrir enlace")</f>
        <v>Abrir enlace</v>
      </c>
      <c r="L481" s="2" t="s">
        <v>1728</v>
      </c>
      <c r="M481" s="2"/>
      <c r="N481" s="2" t="s">
        <v>45</v>
      </c>
      <c r="O481" s="2"/>
      <c r="P481" s="4" t="str">
        <f>HYPERLINK("https://openlibrary.org/works/OL20966583W","Abrir enlace")</f>
        <v>Abrir enlace</v>
      </c>
      <c r="Q481" s="2"/>
      <c r="R481" s="2"/>
      <c r="S481" s="2"/>
      <c r="T481" s="2"/>
      <c r="U481" s="2"/>
      <c r="V481" s="2"/>
      <c r="W481" s="2"/>
      <c r="X481" s="2"/>
      <c r="Y481" s="2"/>
      <c r="Z481" s="2"/>
      <c r="AA481" s="2" t="s">
        <v>46</v>
      </c>
      <c r="AB481" s="2" t="s">
        <v>41</v>
      </c>
      <c r="AC481" s="2"/>
      <c r="AD481" s="2"/>
      <c r="AE481" s="2"/>
    </row>
    <row r="482" ht="15.75" customHeight="1">
      <c r="A482" s="2">
        <v>482.0</v>
      </c>
      <c r="B482" s="2" t="s">
        <v>1729</v>
      </c>
      <c r="C482" s="2" t="s">
        <v>1730</v>
      </c>
      <c r="D482" s="2" t="s">
        <v>49</v>
      </c>
      <c r="E482" s="2" t="s">
        <v>112</v>
      </c>
      <c r="F482" s="3" t="s">
        <v>35</v>
      </c>
      <c r="G482" s="2"/>
      <c r="H482" s="2" t="s">
        <v>112</v>
      </c>
      <c r="I482" s="2" t="s">
        <v>36</v>
      </c>
      <c r="J482" s="2" t="s">
        <v>1731</v>
      </c>
      <c r="K482" s="4" t="str">
        <f>HYPERLINK("https://openlibrary.org/works/OL32989836W","Abrir enlace")</f>
        <v>Abrir enlace</v>
      </c>
      <c r="L482" s="2" t="s">
        <v>1732</v>
      </c>
      <c r="M482" s="2"/>
      <c r="N482" s="2" t="s">
        <v>45</v>
      </c>
      <c r="O482" s="2"/>
      <c r="P482" s="4" t="str">
        <f>HYPERLINK("https://openlibrary.org/works/OL32989836W","Abrir enlace")</f>
        <v>Abrir enlace</v>
      </c>
      <c r="Q482" s="2"/>
      <c r="R482" s="2"/>
      <c r="S482" s="2"/>
      <c r="T482" s="2"/>
      <c r="U482" s="2"/>
      <c r="V482" s="2"/>
      <c r="W482" s="2"/>
      <c r="X482" s="2"/>
      <c r="Y482" s="2"/>
      <c r="Z482" s="2"/>
      <c r="AA482" s="2" t="s">
        <v>46</v>
      </c>
      <c r="AB482" s="2" t="s">
        <v>1733</v>
      </c>
      <c r="AC482" s="2"/>
      <c r="AD482" s="2"/>
      <c r="AE482" s="2"/>
    </row>
    <row r="483" ht="15.75" customHeight="1">
      <c r="A483" s="2">
        <v>483.0</v>
      </c>
      <c r="B483" s="2" t="s">
        <v>1734</v>
      </c>
      <c r="C483" s="2" t="s">
        <v>1735</v>
      </c>
      <c r="D483" s="2" t="s">
        <v>49</v>
      </c>
      <c r="E483" s="2" t="s">
        <v>34</v>
      </c>
      <c r="F483" s="2" t="s">
        <v>35</v>
      </c>
      <c r="G483" s="2"/>
      <c r="H483" s="2" t="s">
        <v>34</v>
      </c>
      <c r="I483" s="2" t="s">
        <v>189</v>
      </c>
      <c r="J483" s="2" t="s">
        <v>1736</v>
      </c>
      <c r="K483" s="4" t="str">
        <f>HYPERLINK("https://books.google.com/books/about/Eusebio.html?id=k7zN8VjUyVcC","Abrir enlace")</f>
        <v>Abrir enlace</v>
      </c>
      <c r="L483" s="2" t="s">
        <v>1737</v>
      </c>
      <c r="M483" s="2"/>
      <c r="N483" s="2" t="s">
        <v>91</v>
      </c>
      <c r="O483" s="2" t="s">
        <v>1419</v>
      </c>
      <c r="P483" s="4" t="str">
        <f>HYPERLINK("https://books.google.com/books/about/Eusebio.html?id=k7zN8VjUyVcC","Abrir enlace")</f>
        <v>Abrir enlace</v>
      </c>
      <c r="Q483" s="2" t="s">
        <v>1738</v>
      </c>
      <c r="R483" s="2"/>
      <c r="S483" s="2" t="s">
        <v>91</v>
      </c>
      <c r="T483" s="2" t="s">
        <v>893</v>
      </c>
      <c r="U483" s="4" t="str">
        <f>HYPERLINK("https://archive.org/details/bub_gb_2T8Lm6klbdIC","Abrir enlace")</f>
        <v>Abrir enlace</v>
      </c>
      <c r="V483" s="2" t="s">
        <v>1739</v>
      </c>
      <c r="W483" s="2"/>
      <c r="X483" s="2" t="s">
        <v>91</v>
      </c>
      <c r="Y483" s="2" t="s">
        <v>1740</v>
      </c>
      <c r="Z483" s="4" t="str">
        <f>HYPERLINK("https://www.thriftbooks.com/w/eusebio--historia-sacada-de-las-memorias-que-dex-el-mismo/15264368/","Abrir enlace")</f>
        <v>Abrir enlace</v>
      </c>
      <c r="AA483" s="2"/>
      <c r="AB483" s="2"/>
      <c r="AC483" s="2"/>
      <c r="AD483" s="2"/>
      <c r="AE483" s="2"/>
    </row>
    <row r="484" ht="15.75" customHeight="1">
      <c r="A484" s="2">
        <v>484.0</v>
      </c>
      <c r="B484" s="2" t="s">
        <v>1741</v>
      </c>
      <c r="C484" s="2" t="s">
        <v>1742</v>
      </c>
      <c r="D484" s="2" t="s">
        <v>99</v>
      </c>
      <c r="E484" s="2" t="s">
        <v>70</v>
      </c>
      <c r="F484" s="2" t="s">
        <v>35</v>
      </c>
      <c r="G484" s="2"/>
      <c r="H484" s="2" t="s">
        <v>70</v>
      </c>
      <c r="I484" s="2" t="s">
        <v>168</v>
      </c>
      <c r="J484" s="2" t="s">
        <v>1743</v>
      </c>
      <c r="K484" s="4" t="str">
        <f>HYPERLINK("https://archive.org/details/philtrans03360625","Abrir enlace")</f>
        <v>Abrir enlace</v>
      </c>
      <c r="L484" s="2" t="s">
        <v>1744</v>
      </c>
      <c r="M484" s="2"/>
      <c r="N484" s="2" t="s">
        <v>91</v>
      </c>
      <c r="O484" s="2" t="s">
        <v>1745</v>
      </c>
      <c r="P484" s="4" t="str">
        <f>HYPERLINK("https://archive.org/details/philtrans03360625","Abrir enlace")</f>
        <v>Abrir enlace</v>
      </c>
      <c r="Q484" s="2" t="s">
        <v>1746</v>
      </c>
      <c r="R484" s="2"/>
      <c r="S484" s="2" t="s">
        <v>91</v>
      </c>
      <c r="T484" s="2" t="s">
        <v>1517</v>
      </c>
      <c r="U484" s="4" t="str">
        <f>HYPERLINK("https://archive.org/details/hin-wel-all-00002524-001","Abrir enlace")</f>
        <v>Abrir enlace</v>
      </c>
      <c r="V484" s="2" t="s">
        <v>1747</v>
      </c>
      <c r="W484" s="2"/>
      <c r="X484" s="2" t="s">
        <v>91</v>
      </c>
      <c r="Y484" s="2" t="s">
        <v>1748</v>
      </c>
      <c r="Z484" s="4" t="str">
        <f>HYPERLINK("https://catalogue.nla.gov.au/catalog/2388727","Abrir enlace")</f>
        <v>Abrir enlace</v>
      </c>
      <c r="AA484" s="2"/>
      <c r="AB484" s="2"/>
      <c r="AC484" s="2"/>
      <c r="AD484" s="2"/>
      <c r="AE484" s="2"/>
    </row>
    <row r="485" ht="15.75" customHeight="1">
      <c r="A485" s="2">
        <v>485.0</v>
      </c>
      <c r="B485" s="2" t="s">
        <v>1749</v>
      </c>
      <c r="C485" s="2" t="s">
        <v>1249</v>
      </c>
      <c r="D485" s="2" t="s">
        <v>49</v>
      </c>
      <c r="E485" s="2" t="s">
        <v>64</v>
      </c>
      <c r="F485" s="2" t="s">
        <v>35</v>
      </c>
      <c r="G485" s="2"/>
      <c r="H485" s="2" t="s">
        <v>64</v>
      </c>
      <c r="I485" s="2" t="s">
        <v>36</v>
      </c>
      <c r="J485" s="2" t="s">
        <v>1250</v>
      </c>
      <c r="K485" s="4" t="str">
        <f>HYPERLINK("https://bibliotecavirtualmadrid.comunidad.madrid/bvmadrid_publicacion/en/consulta/registro.do?id=62943","Abrir enlace")</f>
        <v>Abrir enlace</v>
      </c>
      <c r="L485" s="2" t="s">
        <v>1750</v>
      </c>
      <c r="M485" s="2"/>
      <c r="N485" s="2" t="s">
        <v>91</v>
      </c>
      <c r="O485" s="2" t="s">
        <v>1751</v>
      </c>
      <c r="P485" s="4" t="str">
        <f>HYPERLINK("https://bibliotecavirtualmadrid.comunidad.madrid/bvmadrid_publicacion/en/consulta/registro.do?id=62943","Abrir enlace")</f>
        <v>Abrir enlace</v>
      </c>
      <c r="Q485" s="2" t="s">
        <v>1752</v>
      </c>
      <c r="R485" s="2"/>
      <c r="S485" s="2" t="s">
        <v>91</v>
      </c>
      <c r="T485" s="2" t="s">
        <v>1753</v>
      </c>
      <c r="U485" s="4" t="str">
        <f>HYPERLINK("https://archive.org/details/bub_gb_JP9QAAAAcAAJ","Abrir enlace")</f>
        <v>Abrir enlace</v>
      </c>
      <c r="V485" s="2" t="s">
        <v>1754</v>
      </c>
      <c r="W485" s="2"/>
      <c r="X485" s="2" t="s">
        <v>91</v>
      </c>
      <c r="Y485" s="2" t="s">
        <v>1755</v>
      </c>
      <c r="Z485" s="4" t="str">
        <f>HYPERLINK("https://www.iberlibro.com/buscar-libro/titulo/dos-libros-epistolas-selectas/autor/ciceron-marco-tulio/","Abrir enlace")</f>
        <v>Abrir enlace</v>
      </c>
      <c r="AA485" s="2"/>
      <c r="AB485" s="2"/>
      <c r="AC485" s="2"/>
      <c r="AD485" s="2"/>
      <c r="AE485" s="2"/>
    </row>
    <row r="486" ht="15.75" customHeight="1">
      <c r="A486" s="2">
        <v>486.0</v>
      </c>
      <c r="B486" s="2" t="s">
        <v>1756</v>
      </c>
      <c r="C486" s="2" t="s">
        <v>1757</v>
      </c>
      <c r="D486" s="2" t="s">
        <v>33</v>
      </c>
      <c r="E486" s="2" t="s">
        <v>64</v>
      </c>
      <c r="F486" s="3" t="s">
        <v>35</v>
      </c>
      <c r="G486" s="2"/>
      <c r="H486" s="2" t="s">
        <v>64</v>
      </c>
      <c r="I486" s="2" t="s">
        <v>36</v>
      </c>
      <c r="J486" s="2" t="s">
        <v>37</v>
      </c>
      <c r="K486" s="4" t="str">
        <f>HYPERLINK("https://openlibrary.org/works/OL5780614W","Abrir enlace")</f>
        <v>Abrir enlace</v>
      </c>
      <c r="L486" s="2" t="s">
        <v>1758</v>
      </c>
      <c r="M486" s="2"/>
      <c r="N486" s="2" t="s">
        <v>45</v>
      </c>
      <c r="O486" s="2"/>
      <c r="P486" s="4" t="str">
        <f>HYPERLINK("https://openlibrary.org/works/OL5780614W","Abrir enlace")</f>
        <v>Abrir enlace</v>
      </c>
      <c r="Q486" s="2"/>
      <c r="R486" s="2"/>
      <c r="S486" s="2"/>
      <c r="T486" s="2"/>
      <c r="U486" s="2"/>
      <c r="V486" s="2"/>
      <c r="W486" s="2"/>
      <c r="X486" s="2"/>
      <c r="Y486" s="2"/>
      <c r="Z486" s="2"/>
      <c r="AA486" s="2" t="s">
        <v>60</v>
      </c>
      <c r="AB486" s="2" t="s">
        <v>67</v>
      </c>
      <c r="AC486" s="2"/>
      <c r="AD486" s="2"/>
      <c r="AE486" s="2"/>
    </row>
    <row r="487" ht="15.75" customHeight="1">
      <c r="A487" s="2">
        <v>487.0</v>
      </c>
      <c r="B487" s="2" t="s">
        <v>1759</v>
      </c>
      <c r="C487" s="2" t="s">
        <v>1760</v>
      </c>
      <c r="D487" s="2" t="s">
        <v>33</v>
      </c>
      <c r="E487" s="2" t="s">
        <v>70</v>
      </c>
      <c r="F487" s="2" t="s">
        <v>35</v>
      </c>
      <c r="G487" s="2"/>
      <c r="H487" s="2" t="s">
        <v>70</v>
      </c>
      <c r="I487" s="2" t="s">
        <v>36</v>
      </c>
      <c r="J487" s="2" t="s">
        <v>1761</v>
      </c>
      <c r="K487" s="4" t="str">
        <f>HYPERLINK("https://books.google.com/books/about/The_American_New_Dispensatory.html?id=o5yltAEACAAJ","Abrir enlace")</f>
        <v>Abrir enlace</v>
      </c>
      <c r="L487" s="2" t="s">
        <v>1762</v>
      </c>
      <c r="M487" s="2"/>
      <c r="N487" s="2" t="s">
        <v>91</v>
      </c>
      <c r="O487" s="2" t="s">
        <v>1753</v>
      </c>
      <c r="P487" s="4" t="str">
        <f>HYPERLINK("https://books.google.com/books/about/The_American_New_Dispensatory.html?id=o5yltAEACAAJ","Abrir enlace")</f>
        <v>Abrir enlace</v>
      </c>
      <c r="Q487" s="2" t="s">
        <v>1763</v>
      </c>
      <c r="R487" s="2"/>
      <c r="S487" s="2" t="s">
        <v>91</v>
      </c>
      <c r="T487" s="2" t="s">
        <v>1764</v>
      </c>
      <c r="U487" s="4" t="str">
        <f>HYPERLINK("https://openlibrary.org/books/OL15044411M/The_American_new_dispensatory","Abrir enlace")</f>
        <v>Abrir enlace</v>
      </c>
      <c r="V487" s="2" t="s">
        <v>1765</v>
      </c>
      <c r="W487" s="2"/>
      <c r="X487" s="2" t="s">
        <v>91</v>
      </c>
      <c r="Y487" s="2" t="s">
        <v>1766</v>
      </c>
      <c r="Z487" s="4" t="str">
        <f>HYPERLINK("https://worldherblibrary.org/catalog/the-american-new-dispensatory/","Abrir enlace")</f>
        <v>Abrir enlace</v>
      </c>
      <c r="AA487" s="2"/>
      <c r="AB487" s="2"/>
      <c r="AC487" s="2"/>
      <c r="AD487" s="2"/>
      <c r="AE487" s="2"/>
    </row>
    <row r="488" ht="15.75" customHeight="1">
      <c r="A488" s="2">
        <v>488.0</v>
      </c>
      <c r="B488" s="2" t="s">
        <v>1767</v>
      </c>
      <c r="C488" s="2" t="s">
        <v>1768</v>
      </c>
      <c r="D488" s="2" t="s">
        <v>33</v>
      </c>
      <c r="E488" s="2" t="s">
        <v>64</v>
      </c>
      <c r="F488" s="3" t="s">
        <v>35</v>
      </c>
      <c r="G488" s="2"/>
      <c r="H488" s="2" t="s">
        <v>64</v>
      </c>
      <c r="I488" s="2" t="s">
        <v>36</v>
      </c>
      <c r="J488" s="2" t="s">
        <v>1769</v>
      </c>
      <c r="K488" s="4" t="str">
        <f>HYPERLINK("https://openlibrary.org/works/OL19878324W","Abrir enlace")</f>
        <v>Abrir enlace</v>
      </c>
      <c r="L488" s="2" t="s">
        <v>1770</v>
      </c>
      <c r="M488" s="2"/>
      <c r="N488" s="2" t="s">
        <v>45</v>
      </c>
      <c r="O488" s="2"/>
      <c r="P488" s="4" t="str">
        <f>HYPERLINK("https://openlibrary.org/works/OL19878324W","Abrir enlace")</f>
        <v>Abrir enlace</v>
      </c>
      <c r="Q488" s="2"/>
      <c r="R488" s="2"/>
      <c r="S488" s="2"/>
      <c r="T488" s="2"/>
      <c r="U488" s="2"/>
      <c r="V488" s="2"/>
      <c r="W488" s="2"/>
      <c r="X488" s="2"/>
      <c r="Y488" s="2"/>
      <c r="Z488" s="2"/>
      <c r="AA488" s="2" t="s">
        <v>51</v>
      </c>
      <c r="AB488" s="2" t="s">
        <v>1771</v>
      </c>
      <c r="AC488" s="2"/>
      <c r="AD488" s="2"/>
      <c r="AE488" s="2"/>
    </row>
    <row r="489" ht="15.75" customHeight="1">
      <c r="A489" s="2">
        <v>489.0</v>
      </c>
      <c r="B489" s="2" t="s">
        <v>1772</v>
      </c>
      <c r="C489" s="2" t="s">
        <v>1773</v>
      </c>
      <c r="D489" s="2" t="s">
        <v>33</v>
      </c>
      <c r="E489" s="2" t="s">
        <v>64</v>
      </c>
      <c r="F489" s="2" t="s">
        <v>35</v>
      </c>
      <c r="G489" s="2"/>
      <c r="H489" s="2" t="s">
        <v>64</v>
      </c>
      <c r="I489" s="2" t="s">
        <v>36</v>
      </c>
      <c r="J489" s="2" t="s">
        <v>1774</v>
      </c>
      <c r="K489" s="4" t="str">
        <f>HYPERLINK("https://openlibrary.org/books/OL20451105M/Pindari_carmina_et_fragmenta","Abrir enlace")</f>
        <v>Abrir enlace</v>
      </c>
      <c r="L489" s="2" t="s">
        <v>1775</v>
      </c>
      <c r="M489" s="2"/>
      <c r="N489" s="2" t="s">
        <v>91</v>
      </c>
      <c r="O489" s="2" t="s">
        <v>1776</v>
      </c>
      <c r="P489" s="4" t="str">
        <f>HYPERLINK("https://openlibrary.org/books/OL20451105M/Pindari_carmina_et_fragmenta","Abrir enlace")</f>
        <v>Abrir enlace</v>
      </c>
      <c r="Q489" s="2" t="s">
        <v>1777</v>
      </c>
      <c r="R489" s="2"/>
      <c r="S489" s="2" t="s">
        <v>91</v>
      </c>
      <c r="T489" s="2" t="s">
        <v>1776</v>
      </c>
      <c r="U489" s="4" t="str">
        <f>HYPERLINK("https://archive.org/details/pindaricarmina01heyngoog","Abrir enlace")</f>
        <v>Abrir enlace</v>
      </c>
      <c r="V489" s="2" t="s">
        <v>1778</v>
      </c>
      <c r="W489" s="2"/>
      <c r="X489" s="2" t="s">
        <v>91</v>
      </c>
      <c r="Y489" s="2" t="s">
        <v>1779</v>
      </c>
      <c r="Z489" s="4" t="str">
        <f>HYPERLINK("https://books.google.com/books/about/Pindari_carmina.html?id=AGwTAAAAQAAJ","Abrir enlace")</f>
        <v>Abrir enlace</v>
      </c>
      <c r="AA489" s="2"/>
      <c r="AB489" s="2"/>
      <c r="AC489" s="2"/>
      <c r="AD489" s="2"/>
      <c r="AE489" s="2"/>
    </row>
    <row r="490" ht="15.75" customHeight="1">
      <c r="A490" s="2">
        <v>490.0</v>
      </c>
      <c r="B490" s="2" t="s">
        <v>1780</v>
      </c>
      <c r="C490" s="2"/>
      <c r="D490" s="2" t="s">
        <v>165</v>
      </c>
      <c r="E490" s="2" t="s">
        <v>64</v>
      </c>
      <c r="F490" s="3" t="s">
        <v>35</v>
      </c>
      <c r="G490" s="2"/>
      <c r="H490" s="2" t="s">
        <v>64</v>
      </c>
      <c r="I490" s="2" t="s">
        <v>168</v>
      </c>
      <c r="J490" s="2" t="s">
        <v>1781</v>
      </c>
      <c r="K490" s="4" t="str">
        <f>HYPERLINK("https://archive.org/details/museumcriticumo00unkngoog","Abrir enlace")</f>
        <v>Abrir enlace</v>
      </c>
      <c r="L490" s="2" t="s">
        <v>1782</v>
      </c>
      <c r="M490" s="2"/>
      <c r="N490" s="2" t="s">
        <v>54</v>
      </c>
      <c r="O490" s="2"/>
      <c r="P490" s="4" t="str">
        <f>HYPERLINK("https://archive.org/details/museumcriticumo00unkngoog","Abrir enlace")</f>
        <v>Abrir enlace</v>
      </c>
      <c r="Q490" s="2"/>
      <c r="R490" s="2"/>
      <c r="S490" s="2"/>
      <c r="T490" s="2"/>
      <c r="U490" s="2"/>
      <c r="V490" s="2"/>
      <c r="W490" s="2"/>
      <c r="X490" s="2"/>
      <c r="Y490" s="2"/>
      <c r="Z490" s="2"/>
      <c r="AA490" s="2" t="s">
        <v>46</v>
      </c>
      <c r="AB490" s="2" t="s">
        <v>1783</v>
      </c>
      <c r="AC490" s="2"/>
      <c r="AD490" s="2"/>
      <c r="AE490" s="2"/>
    </row>
    <row r="491" ht="15.75" customHeight="1">
      <c r="A491" s="2">
        <v>491.0</v>
      </c>
      <c r="B491" s="2" t="s">
        <v>1784</v>
      </c>
      <c r="C491" s="2"/>
      <c r="D491" s="2" t="s">
        <v>49</v>
      </c>
      <c r="E491" s="2" t="s">
        <v>64</v>
      </c>
      <c r="F491" s="3" t="s">
        <v>35</v>
      </c>
      <c r="G491" s="2"/>
      <c r="H491" s="2" t="s">
        <v>64</v>
      </c>
      <c r="I491" s="2" t="s">
        <v>36</v>
      </c>
      <c r="J491" s="2" t="s">
        <v>37</v>
      </c>
      <c r="K491" s="4" t="str">
        <f>HYPERLINK("https://openlibrary.org/works/OL38747631W","Abrir enlace")</f>
        <v>Abrir enlace</v>
      </c>
      <c r="L491" s="2" t="s">
        <v>1785</v>
      </c>
      <c r="M491" s="2"/>
      <c r="N491" s="2" t="s">
        <v>45</v>
      </c>
      <c r="O491" s="2"/>
      <c r="P491" s="4" t="str">
        <f>HYPERLINK("https://openlibrary.org/works/OL38747631W","Abrir enlace")</f>
        <v>Abrir enlace</v>
      </c>
      <c r="Q491" s="2"/>
      <c r="R491" s="2"/>
      <c r="S491" s="2"/>
      <c r="T491" s="2"/>
      <c r="U491" s="2"/>
      <c r="V491" s="2"/>
      <c r="W491" s="2"/>
      <c r="X491" s="2"/>
      <c r="Y491" s="2"/>
      <c r="Z491" s="2"/>
      <c r="AA491" s="2" t="s">
        <v>46</v>
      </c>
      <c r="AB491" s="2" t="s">
        <v>67</v>
      </c>
      <c r="AC491" s="2"/>
      <c r="AD491" s="2"/>
      <c r="AE491" s="2"/>
    </row>
    <row r="492" ht="15.75" customHeight="1">
      <c r="A492" s="2">
        <v>492.0</v>
      </c>
      <c r="B492" s="2" t="s">
        <v>1786</v>
      </c>
      <c r="C492" s="2"/>
      <c r="D492" s="2" t="s">
        <v>165</v>
      </c>
      <c r="E492" s="2" t="s">
        <v>64</v>
      </c>
      <c r="F492" s="2" t="s">
        <v>35</v>
      </c>
      <c r="G492" s="2"/>
      <c r="H492" s="2" t="s">
        <v>64</v>
      </c>
      <c r="I492" s="2" t="s">
        <v>189</v>
      </c>
      <c r="J492" s="2" t="s">
        <v>1787</v>
      </c>
      <c r="K492" s="4" t="str">
        <f>HYPERLINK("https://massimobarra.it/discorso-inaugurale/","Abrir enlace")</f>
        <v>Abrir enlace</v>
      </c>
      <c r="L492" s="2" t="s">
        <v>1788</v>
      </c>
      <c r="M492" s="2"/>
      <c r="N492" s="2" t="s">
        <v>91</v>
      </c>
      <c r="O492" s="2" t="s">
        <v>1607</v>
      </c>
      <c r="P492" s="4" t="str">
        <f>HYPERLINK("https://massimobarra.it/discorso-inaugurale/","Abrir enlace")</f>
        <v>Abrir enlace</v>
      </c>
      <c r="Q492" s="2" t="s">
        <v>1789</v>
      </c>
      <c r="R492" s="2"/>
      <c r="S492" s="2" t="s">
        <v>91</v>
      </c>
      <c r="T492" s="2" t="s">
        <v>1790</v>
      </c>
      <c r="U492" s="4" t="str">
        <f>HYPERLINK("https://diocesiudine.infoteca.it/ricerca/dettaglio/concordanza-ed-uso-degli-studii-di-archeologia-numismatica-diplomatica-ed-araldi/18626","Abrir enlace")</f>
        <v>Abrir enlace</v>
      </c>
      <c r="V492" s="2" t="s">
        <v>1791</v>
      </c>
      <c r="W492" s="2"/>
      <c r="X492" s="2" t="s">
        <v>91</v>
      </c>
      <c r="Y492" s="2" t="s">
        <v>730</v>
      </c>
      <c r="Z492" s="4" t="str">
        <f>HYPERLINK("https://books.google.com/books/about/Discorso_inaugurale_e_annuario_accademic.html?id=zdE6BEDig9UC","Abrir enlace")</f>
        <v>Abrir enlace</v>
      </c>
      <c r="AA492" s="2"/>
      <c r="AB492" s="2"/>
      <c r="AC492" s="2"/>
      <c r="AD492" s="2"/>
      <c r="AE492" s="2"/>
    </row>
    <row r="493" ht="15.75" customHeight="1">
      <c r="A493" s="2">
        <v>493.0</v>
      </c>
      <c r="B493" s="2" t="s">
        <v>1792</v>
      </c>
      <c r="C493" s="2" t="s">
        <v>147</v>
      </c>
      <c r="D493" s="2" t="s">
        <v>33</v>
      </c>
      <c r="E493" s="2" t="s">
        <v>64</v>
      </c>
      <c r="F493" s="3" t="s">
        <v>35</v>
      </c>
      <c r="G493" s="2"/>
      <c r="H493" s="2" t="s">
        <v>64</v>
      </c>
      <c r="I493" s="2" t="s">
        <v>36</v>
      </c>
      <c r="J493" s="2" t="s">
        <v>1793</v>
      </c>
      <c r="K493" s="4" t="str">
        <f t="shared" ref="K493:K494" si="45">HYPERLINK("https://openlibrary.org/works/OL41575783W","Abrir enlace")</f>
        <v>Abrir enlace</v>
      </c>
      <c r="L493" s="2" t="s">
        <v>1794</v>
      </c>
      <c r="M493" s="2"/>
      <c r="N493" s="2" t="s">
        <v>45</v>
      </c>
      <c r="O493" s="2"/>
      <c r="P493" s="4" t="str">
        <f t="shared" ref="P493:P494" si="46">HYPERLINK("https://openlibrary.org/works/OL41575783W","Abrir enlace")</f>
        <v>Abrir enlace</v>
      </c>
      <c r="Q493" s="2"/>
      <c r="R493" s="2"/>
      <c r="S493" s="2"/>
      <c r="T493" s="2"/>
      <c r="U493" s="2"/>
      <c r="V493" s="2"/>
      <c r="W493" s="2"/>
      <c r="X493" s="2"/>
      <c r="Y493" s="2"/>
      <c r="Z493" s="2"/>
      <c r="AA493" s="2" t="s">
        <v>60</v>
      </c>
      <c r="AB493" s="2" t="s">
        <v>1795</v>
      </c>
      <c r="AC493" s="2"/>
      <c r="AD493" s="2"/>
      <c r="AE493" s="2"/>
    </row>
    <row r="494" ht="15.75" customHeight="1">
      <c r="A494" s="2">
        <v>494.0</v>
      </c>
      <c r="B494" s="2" t="s">
        <v>1792</v>
      </c>
      <c r="C494" s="2" t="s">
        <v>147</v>
      </c>
      <c r="D494" s="2" t="s">
        <v>33</v>
      </c>
      <c r="E494" s="2" t="s">
        <v>34</v>
      </c>
      <c r="F494" s="3" t="s">
        <v>35</v>
      </c>
      <c r="G494" s="2"/>
      <c r="H494" s="2" t="s">
        <v>34</v>
      </c>
      <c r="I494" s="2" t="s">
        <v>36</v>
      </c>
      <c r="J494" s="2" t="s">
        <v>37</v>
      </c>
      <c r="K494" s="4" t="str">
        <f t="shared" si="45"/>
        <v>Abrir enlace</v>
      </c>
      <c r="L494" s="2" t="s">
        <v>1794</v>
      </c>
      <c r="M494" s="2"/>
      <c r="N494" s="2" t="s">
        <v>45</v>
      </c>
      <c r="O494" s="2"/>
      <c r="P494" s="4" t="str">
        <f t="shared" si="46"/>
        <v>Abrir enlace</v>
      </c>
      <c r="Q494" s="2"/>
      <c r="R494" s="2"/>
      <c r="S494" s="2"/>
      <c r="T494" s="2"/>
      <c r="U494" s="2"/>
      <c r="V494" s="2"/>
      <c r="W494" s="2"/>
      <c r="X494" s="2"/>
      <c r="Y494" s="2"/>
      <c r="Z494" s="2"/>
      <c r="AA494" s="2" t="s">
        <v>60</v>
      </c>
      <c r="AB494" s="2" t="s">
        <v>41</v>
      </c>
      <c r="AC494" s="2"/>
      <c r="AD494" s="2"/>
      <c r="AE494" s="2"/>
    </row>
    <row r="495" ht="15.75" customHeight="1">
      <c r="A495" s="2">
        <v>495.0</v>
      </c>
      <c r="B495" s="2" t="s">
        <v>1796</v>
      </c>
      <c r="C495" s="2" t="s">
        <v>1797</v>
      </c>
      <c r="D495" s="2" t="s">
        <v>33</v>
      </c>
      <c r="E495" s="2" t="s">
        <v>64</v>
      </c>
      <c r="F495" s="3" t="s">
        <v>35</v>
      </c>
      <c r="G495" s="2"/>
      <c r="H495" s="2" t="s">
        <v>64</v>
      </c>
      <c r="I495" s="2" t="s">
        <v>36</v>
      </c>
      <c r="J495" s="2" t="s">
        <v>37</v>
      </c>
      <c r="K495" s="4" t="str">
        <f t="shared" ref="K495:K498" si="47">HYPERLINK("https://openlibrary.org/works/OL2238856W","Abrir enlace")</f>
        <v>Abrir enlace</v>
      </c>
      <c r="L495" s="2" t="s">
        <v>1796</v>
      </c>
      <c r="M495" s="2"/>
      <c r="N495" s="2" t="s">
        <v>45</v>
      </c>
      <c r="O495" s="2"/>
      <c r="P495" s="4" t="str">
        <f t="shared" ref="P495:P498" si="48">HYPERLINK("https://openlibrary.org/works/OL2238856W","Abrir enlace")</f>
        <v>Abrir enlace</v>
      </c>
      <c r="Q495" s="2"/>
      <c r="R495" s="2"/>
      <c r="S495" s="2"/>
      <c r="T495" s="2"/>
      <c r="U495" s="2"/>
      <c r="V495" s="2"/>
      <c r="W495" s="2"/>
      <c r="X495" s="2"/>
      <c r="Y495" s="2"/>
      <c r="Z495" s="2"/>
      <c r="AA495" s="2" t="s">
        <v>60</v>
      </c>
      <c r="AB495" s="2" t="s">
        <v>67</v>
      </c>
      <c r="AC495" s="2"/>
      <c r="AD495" s="2"/>
      <c r="AE495" s="2"/>
    </row>
    <row r="496" ht="15.75" customHeight="1">
      <c r="A496" s="2">
        <v>496.0</v>
      </c>
      <c r="B496" s="2" t="s">
        <v>1796</v>
      </c>
      <c r="C496" s="2" t="s">
        <v>1797</v>
      </c>
      <c r="D496" s="2" t="s">
        <v>33</v>
      </c>
      <c r="E496" s="2" t="s">
        <v>64</v>
      </c>
      <c r="F496" s="3" t="s">
        <v>35</v>
      </c>
      <c r="G496" s="2"/>
      <c r="H496" s="2" t="s">
        <v>64</v>
      </c>
      <c r="I496" s="2" t="s">
        <v>36</v>
      </c>
      <c r="J496" s="2" t="s">
        <v>37</v>
      </c>
      <c r="K496" s="4" t="str">
        <f t="shared" si="47"/>
        <v>Abrir enlace</v>
      </c>
      <c r="L496" s="2" t="s">
        <v>1796</v>
      </c>
      <c r="M496" s="2"/>
      <c r="N496" s="2" t="s">
        <v>45</v>
      </c>
      <c r="O496" s="2"/>
      <c r="P496" s="4" t="str">
        <f t="shared" si="48"/>
        <v>Abrir enlace</v>
      </c>
      <c r="Q496" s="2"/>
      <c r="R496" s="2"/>
      <c r="S496" s="2"/>
      <c r="T496" s="2"/>
      <c r="U496" s="2"/>
      <c r="V496" s="2"/>
      <c r="W496" s="2"/>
      <c r="X496" s="2"/>
      <c r="Y496" s="2"/>
      <c r="Z496" s="2"/>
      <c r="AA496" s="2" t="s">
        <v>60</v>
      </c>
      <c r="AB496" s="2" t="s">
        <v>67</v>
      </c>
      <c r="AC496" s="2"/>
      <c r="AD496" s="2"/>
      <c r="AE496" s="2"/>
    </row>
    <row r="497" ht="15.75" customHeight="1">
      <c r="A497" s="2">
        <v>497.0</v>
      </c>
      <c r="B497" s="2" t="s">
        <v>1796</v>
      </c>
      <c r="C497" s="2" t="s">
        <v>1797</v>
      </c>
      <c r="D497" s="2" t="s">
        <v>33</v>
      </c>
      <c r="E497" s="2" t="s">
        <v>64</v>
      </c>
      <c r="F497" s="3" t="s">
        <v>35</v>
      </c>
      <c r="G497" s="2"/>
      <c r="H497" s="2" t="s">
        <v>64</v>
      </c>
      <c r="I497" s="2" t="s">
        <v>36</v>
      </c>
      <c r="J497" s="2" t="s">
        <v>37</v>
      </c>
      <c r="K497" s="4" t="str">
        <f t="shared" si="47"/>
        <v>Abrir enlace</v>
      </c>
      <c r="L497" s="2" t="s">
        <v>1796</v>
      </c>
      <c r="M497" s="2"/>
      <c r="N497" s="2" t="s">
        <v>45</v>
      </c>
      <c r="O497" s="2"/>
      <c r="P497" s="4" t="str">
        <f t="shared" si="48"/>
        <v>Abrir enlace</v>
      </c>
      <c r="Q497" s="2"/>
      <c r="R497" s="2"/>
      <c r="S497" s="2"/>
      <c r="T497" s="2"/>
      <c r="U497" s="2"/>
      <c r="V497" s="2"/>
      <c r="W497" s="2"/>
      <c r="X497" s="2"/>
      <c r="Y497" s="2"/>
      <c r="Z497" s="2"/>
      <c r="AA497" s="2" t="s">
        <v>60</v>
      </c>
      <c r="AB497" s="2" t="s">
        <v>67</v>
      </c>
      <c r="AC497" s="2"/>
      <c r="AD497" s="2"/>
      <c r="AE497" s="2"/>
    </row>
    <row r="498" ht="15.75" customHeight="1">
      <c r="A498" s="2">
        <v>498.0</v>
      </c>
      <c r="B498" s="2" t="s">
        <v>1796</v>
      </c>
      <c r="C498" s="2" t="s">
        <v>1797</v>
      </c>
      <c r="D498" s="2" t="s">
        <v>33</v>
      </c>
      <c r="E498" s="2" t="s">
        <v>64</v>
      </c>
      <c r="F498" s="3" t="s">
        <v>35</v>
      </c>
      <c r="G498" s="2"/>
      <c r="H498" s="2" t="s">
        <v>64</v>
      </c>
      <c r="I498" s="2" t="s">
        <v>36</v>
      </c>
      <c r="J498" s="2" t="s">
        <v>37</v>
      </c>
      <c r="K498" s="4" t="str">
        <f t="shared" si="47"/>
        <v>Abrir enlace</v>
      </c>
      <c r="L498" s="2" t="s">
        <v>1796</v>
      </c>
      <c r="M498" s="2"/>
      <c r="N498" s="2" t="s">
        <v>45</v>
      </c>
      <c r="O498" s="2"/>
      <c r="P498" s="4" t="str">
        <f t="shared" si="48"/>
        <v>Abrir enlace</v>
      </c>
      <c r="Q498" s="2"/>
      <c r="R498" s="2"/>
      <c r="S498" s="2"/>
      <c r="T498" s="2"/>
      <c r="U498" s="2"/>
      <c r="V498" s="2"/>
      <c r="W498" s="2"/>
      <c r="X498" s="2"/>
      <c r="Y498" s="2"/>
      <c r="Z498" s="2"/>
      <c r="AA498" s="2" t="s">
        <v>60</v>
      </c>
      <c r="AB498" s="2" t="s">
        <v>67</v>
      </c>
      <c r="AC498" s="2"/>
      <c r="AD498" s="2"/>
      <c r="AE498" s="2"/>
    </row>
    <row r="499" ht="15.75" customHeight="1">
      <c r="A499" s="2">
        <v>499.0</v>
      </c>
      <c r="B499" s="2" t="s">
        <v>1798</v>
      </c>
      <c r="C499" s="2"/>
      <c r="D499" s="2" t="s">
        <v>165</v>
      </c>
      <c r="E499" s="2" t="s">
        <v>112</v>
      </c>
      <c r="F499" s="2" t="s">
        <v>35</v>
      </c>
      <c r="G499" s="2"/>
      <c r="H499" s="2" t="s">
        <v>112</v>
      </c>
      <c r="I499" s="2" t="s">
        <v>36</v>
      </c>
      <c r="J499" s="2" t="s">
        <v>1799</v>
      </c>
      <c r="K499" s="4" t="str">
        <f>HYPERLINK("https://www.odbm.org/fr/serie-decouverte/comprendre-la-bible-les-livres-historiques/lhistoire-de-lancien-testament","Abrir enlace")</f>
        <v>Abrir enlace</v>
      </c>
      <c r="L499" s="2" t="s">
        <v>1800</v>
      </c>
      <c r="M499" s="2"/>
      <c r="N499" s="2" t="s">
        <v>91</v>
      </c>
      <c r="O499" s="2" t="s">
        <v>480</v>
      </c>
      <c r="P499" s="4" t="str">
        <f>HYPERLINK("https://www.odbm.org/fr/serie-decouverte/comprendre-la-bible-les-livres-historiques/lhistoire-de-lancien-testament","Abrir enlace")</f>
        <v>Abrir enlace</v>
      </c>
      <c r="Q499" s="2" t="s">
        <v>1801</v>
      </c>
      <c r="R499" s="2"/>
      <c r="S499" s="2" t="s">
        <v>91</v>
      </c>
      <c r="T499" s="2" t="s">
        <v>1802</v>
      </c>
      <c r="U499" s="4" t="str">
        <f>HYPERLINK("https://essentiel-bible.com/histoire-ancien-testament","Abrir enlace")</f>
        <v>Abrir enlace</v>
      </c>
      <c r="V499" s="2" t="s">
        <v>1803</v>
      </c>
      <c r="W499" s="2"/>
      <c r="X499" s="2" t="s">
        <v>91</v>
      </c>
      <c r="Y499" s="2" t="s">
        <v>218</v>
      </c>
      <c r="Z499" s="4" t="str">
        <f>HYPERLINK("https://www.art-religieux.fr/ancien-testament/","Abrir enlace")</f>
        <v>Abrir enlace</v>
      </c>
      <c r="AA499" s="2"/>
      <c r="AB499" s="2"/>
      <c r="AC499" s="2"/>
      <c r="AD499" s="2"/>
      <c r="AE499" s="2"/>
    </row>
    <row r="500" ht="15.75" customHeight="1">
      <c r="A500" s="2">
        <v>500.0</v>
      </c>
      <c r="B500" s="2" t="s">
        <v>1798</v>
      </c>
      <c r="C500" s="2"/>
      <c r="D500" s="2" t="s">
        <v>165</v>
      </c>
      <c r="E500" s="2" t="s">
        <v>112</v>
      </c>
      <c r="F500" s="2" t="s">
        <v>35</v>
      </c>
      <c r="G500" s="2"/>
      <c r="H500" s="2" t="s">
        <v>112</v>
      </c>
      <c r="I500" s="2" t="s">
        <v>36</v>
      </c>
      <c r="J500" s="2" t="s">
        <v>1799</v>
      </c>
      <c r="K500" s="2" t="s">
        <v>757</v>
      </c>
      <c r="L500" s="2" t="s">
        <v>1800</v>
      </c>
      <c r="M500" s="2"/>
      <c r="N500" s="2" t="s">
        <v>91</v>
      </c>
      <c r="O500" s="2" t="s">
        <v>480</v>
      </c>
      <c r="P500" s="2" t="s">
        <v>757</v>
      </c>
      <c r="Q500" s="2" t="s">
        <v>1801</v>
      </c>
      <c r="R500" s="2"/>
      <c r="S500" s="2" t="s">
        <v>91</v>
      </c>
      <c r="T500" s="2" t="s">
        <v>1802</v>
      </c>
      <c r="U500" s="2" t="s">
        <v>757</v>
      </c>
      <c r="V500" s="2" t="s">
        <v>1803</v>
      </c>
      <c r="W500" s="2"/>
      <c r="X500" s="2" t="s">
        <v>91</v>
      </c>
      <c r="Y500" s="2" t="s">
        <v>218</v>
      </c>
      <c r="Z500" s="2" t="s">
        <v>757</v>
      </c>
      <c r="AA500" s="2"/>
      <c r="AB500" s="2"/>
      <c r="AC500" s="2"/>
      <c r="AD500" s="2"/>
      <c r="AE500" s="2"/>
    </row>
    <row r="501" ht="15.75" customHeight="1">
      <c r="A501" s="2">
        <v>501.0</v>
      </c>
      <c r="B501" s="2" t="s">
        <v>1798</v>
      </c>
      <c r="C501" s="2"/>
      <c r="D501" s="2" t="s">
        <v>165</v>
      </c>
      <c r="E501" s="2" t="s">
        <v>112</v>
      </c>
      <c r="F501" s="2" t="s">
        <v>35</v>
      </c>
      <c r="G501" s="2"/>
      <c r="H501" s="2" t="s">
        <v>112</v>
      </c>
      <c r="I501" s="2" t="s">
        <v>36</v>
      </c>
      <c r="J501" s="2" t="s">
        <v>1799</v>
      </c>
      <c r="K501" s="2" t="s">
        <v>757</v>
      </c>
      <c r="L501" s="2" t="s">
        <v>1800</v>
      </c>
      <c r="M501" s="2"/>
      <c r="N501" s="2" t="s">
        <v>91</v>
      </c>
      <c r="O501" s="2" t="s">
        <v>480</v>
      </c>
      <c r="P501" s="2" t="s">
        <v>757</v>
      </c>
      <c r="Q501" s="2" t="s">
        <v>1801</v>
      </c>
      <c r="R501" s="2"/>
      <c r="S501" s="2" t="s">
        <v>91</v>
      </c>
      <c r="T501" s="2" t="s">
        <v>1802</v>
      </c>
      <c r="U501" s="2" t="s">
        <v>757</v>
      </c>
      <c r="V501" s="2" t="s">
        <v>1803</v>
      </c>
      <c r="W501" s="2"/>
      <c r="X501" s="2" t="s">
        <v>91</v>
      </c>
      <c r="Y501" s="2" t="s">
        <v>218</v>
      </c>
      <c r="Z501" s="2" t="s">
        <v>757</v>
      </c>
      <c r="AA501" s="2"/>
      <c r="AB501" s="2"/>
      <c r="AC501" s="2"/>
      <c r="AD501" s="2"/>
      <c r="AE501" s="2"/>
    </row>
    <row r="502" ht="15.75" customHeight="1">
      <c r="A502" s="2">
        <v>502.0</v>
      </c>
      <c r="B502" s="2" t="s">
        <v>1798</v>
      </c>
      <c r="C502" s="2"/>
      <c r="D502" s="2" t="s">
        <v>165</v>
      </c>
      <c r="E502" s="2" t="s">
        <v>112</v>
      </c>
      <c r="F502" s="2" t="s">
        <v>35</v>
      </c>
      <c r="G502" s="2"/>
      <c r="H502" s="2" t="s">
        <v>112</v>
      </c>
      <c r="I502" s="2" t="s">
        <v>36</v>
      </c>
      <c r="J502" s="2" t="s">
        <v>1799</v>
      </c>
      <c r="K502" s="2" t="s">
        <v>757</v>
      </c>
      <c r="L502" s="2" t="s">
        <v>1800</v>
      </c>
      <c r="M502" s="2"/>
      <c r="N502" s="2" t="s">
        <v>91</v>
      </c>
      <c r="O502" s="2" t="s">
        <v>480</v>
      </c>
      <c r="P502" s="2" t="s">
        <v>757</v>
      </c>
      <c r="Q502" s="2" t="s">
        <v>1801</v>
      </c>
      <c r="R502" s="2"/>
      <c r="S502" s="2" t="s">
        <v>91</v>
      </c>
      <c r="T502" s="2" t="s">
        <v>1802</v>
      </c>
      <c r="U502" s="2" t="s">
        <v>757</v>
      </c>
      <c r="V502" s="2" t="s">
        <v>1803</v>
      </c>
      <c r="W502" s="2"/>
      <c r="X502" s="2" t="s">
        <v>91</v>
      </c>
      <c r="Y502" s="2" t="s">
        <v>218</v>
      </c>
      <c r="Z502" s="2" t="s">
        <v>757</v>
      </c>
      <c r="AA502" s="2"/>
      <c r="AB502" s="2"/>
      <c r="AC502" s="2"/>
      <c r="AD502" s="2"/>
      <c r="AE502" s="2"/>
    </row>
    <row r="503" ht="15.75" customHeight="1">
      <c r="A503" s="2">
        <v>503.0</v>
      </c>
      <c r="B503" s="2" t="s">
        <v>1798</v>
      </c>
      <c r="C503" s="2"/>
      <c r="D503" s="2" t="s">
        <v>165</v>
      </c>
      <c r="E503" s="2" t="s">
        <v>112</v>
      </c>
      <c r="F503" s="2" t="s">
        <v>35</v>
      </c>
      <c r="G503" s="2"/>
      <c r="H503" s="2" t="s">
        <v>112</v>
      </c>
      <c r="I503" s="2" t="s">
        <v>36</v>
      </c>
      <c r="J503" s="2" t="s">
        <v>1799</v>
      </c>
      <c r="K503" s="2" t="s">
        <v>757</v>
      </c>
      <c r="L503" s="2" t="s">
        <v>1800</v>
      </c>
      <c r="M503" s="2"/>
      <c r="N503" s="2" t="s">
        <v>91</v>
      </c>
      <c r="O503" s="2" t="s">
        <v>480</v>
      </c>
      <c r="P503" s="2" t="s">
        <v>757</v>
      </c>
      <c r="Q503" s="2" t="s">
        <v>1801</v>
      </c>
      <c r="R503" s="2"/>
      <c r="S503" s="2" t="s">
        <v>91</v>
      </c>
      <c r="T503" s="2" t="s">
        <v>1802</v>
      </c>
      <c r="U503" s="2" t="s">
        <v>757</v>
      </c>
      <c r="V503" s="2" t="s">
        <v>1803</v>
      </c>
      <c r="W503" s="2"/>
      <c r="X503" s="2" t="s">
        <v>91</v>
      </c>
      <c r="Y503" s="2" t="s">
        <v>218</v>
      </c>
      <c r="Z503" s="2" t="s">
        <v>757</v>
      </c>
      <c r="AA503" s="2"/>
      <c r="AB503" s="2"/>
      <c r="AC503" s="2"/>
      <c r="AD503" s="2"/>
      <c r="AE503" s="2"/>
    </row>
    <row r="504" ht="15.75" customHeight="1">
      <c r="A504" s="2">
        <v>504.0</v>
      </c>
      <c r="B504" s="2" t="s">
        <v>1798</v>
      </c>
      <c r="C504" s="2"/>
      <c r="D504" s="2" t="s">
        <v>165</v>
      </c>
      <c r="E504" s="2" t="s">
        <v>112</v>
      </c>
      <c r="F504" s="2" t="s">
        <v>35</v>
      </c>
      <c r="G504" s="2"/>
      <c r="H504" s="2" t="s">
        <v>112</v>
      </c>
      <c r="I504" s="2" t="s">
        <v>36</v>
      </c>
      <c r="J504" s="2" t="s">
        <v>1799</v>
      </c>
      <c r="K504" s="2" t="s">
        <v>757</v>
      </c>
      <c r="L504" s="2" t="s">
        <v>1800</v>
      </c>
      <c r="M504" s="2"/>
      <c r="N504" s="2" t="s">
        <v>91</v>
      </c>
      <c r="O504" s="2" t="s">
        <v>480</v>
      </c>
      <c r="P504" s="2" t="s">
        <v>757</v>
      </c>
      <c r="Q504" s="2" t="s">
        <v>1801</v>
      </c>
      <c r="R504" s="2"/>
      <c r="S504" s="2" t="s">
        <v>91</v>
      </c>
      <c r="T504" s="2" t="s">
        <v>1802</v>
      </c>
      <c r="U504" s="2" t="s">
        <v>757</v>
      </c>
      <c r="V504" s="2" t="s">
        <v>1803</v>
      </c>
      <c r="W504" s="2"/>
      <c r="X504" s="2" t="s">
        <v>91</v>
      </c>
      <c r="Y504" s="2" t="s">
        <v>218</v>
      </c>
      <c r="Z504" s="2" t="s">
        <v>757</v>
      </c>
      <c r="AA504" s="2"/>
      <c r="AB504" s="2"/>
      <c r="AC504" s="2"/>
      <c r="AD504" s="2"/>
      <c r="AE504" s="2"/>
    </row>
    <row r="505" ht="15.75" customHeight="1">
      <c r="A505" s="2">
        <v>505.0</v>
      </c>
      <c r="B505" s="2" t="s">
        <v>1798</v>
      </c>
      <c r="C505" s="2"/>
      <c r="D505" s="2" t="s">
        <v>165</v>
      </c>
      <c r="E505" s="2" t="s">
        <v>112</v>
      </c>
      <c r="F505" s="2" t="s">
        <v>35</v>
      </c>
      <c r="G505" s="2"/>
      <c r="H505" s="2" t="s">
        <v>112</v>
      </c>
      <c r="I505" s="2" t="s">
        <v>36</v>
      </c>
      <c r="J505" s="2" t="s">
        <v>1799</v>
      </c>
      <c r="K505" s="2" t="s">
        <v>757</v>
      </c>
      <c r="L505" s="2" t="s">
        <v>1800</v>
      </c>
      <c r="M505" s="2"/>
      <c r="N505" s="2" t="s">
        <v>91</v>
      </c>
      <c r="O505" s="2" t="s">
        <v>480</v>
      </c>
      <c r="P505" s="2" t="s">
        <v>757</v>
      </c>
      <c r="Q505" s="2" t="s">
        <v>1801</v>
      </c>
      <c r="R505" s="2"/>
      <c r="S505" s="2" t="s">
        <v>91</v>
      </c>
      <c r="T505" s="2" t="s">
        <v>1802</v>
      </c>
      <c r="U505" s="2" t="s">
        <v>757</v>
      </c>
      <c r="V505" s="2" t="s">
        <v>1803</v>
      </c>
      <c r="W505" s="2"/>
      <c r="X505" s="2" t="s">
        <v>91</v>
      </c>
      <c r="Y505" s="2" t="s">
        <v>218</v>
      </c>
      <c r="Z505" s="2" t="s">
        <v>757</v>
      </c>
      <c r="AA505" s="2"/>
      <c r="AB505" s="2"/>
      <c r="AC505" s="2"/>
      <c r="AD505" s="2"/>
      <c r="AE505" s="2"/>
    </row>
    <row r="506" ht="15.75" customHeight="1">
      <c r="A506" s="2">
        <v>506.0</v>
      </c>
      <c r="B506" s="2" t="s">
        <v>1804</v>
      </c>
      <c r="C506" s="2"/>
      <c r="D506" s="2" t="s">
        <v>33</v>
      </c>
      <c r="E506" s="2" t="s">
        <v>112</v>
      </c>
      <c r="F506" s="2" t="s">
        <v>35</v>
      </c>
      <c r="G506" s="2"/>
      <c r="H506" s="2" t="s">
        <v>112</v>
      </c>
      <c r="I506" s="2" t="s">
        <v>36</v>
      </c>
      <c r="J506" s="2" t="s">
        <v>1805</v>
      </c>
      <c r="K506" s="4" t="str">
        <f>HYPERLINK("http://cdigital.dgb.uanl.mx/la/1080047337/1080047337_MA.PDF","Abrir enlace")</f>
        <v>Abrir enlace</v>
      </c>
      <c r="L506" s="2" t="s">
        <v>1806</v>
      </c>
      <c r="M506" s="2"/>
      <c r="N506" s="2" t="s">
        <v>91</v>
      </c>
      <c r="O506" s="2" t="s">
        <v>1807</v>
      </c>
      <c r="P506" s="4" t="str">
        <f>HYPERLINK("http://cdigital.dgb.uanl.mx/la/1080047337/1080047337_MA.PDF","Abrir enlace")</f>
        <v>Abrir enlace</v>
      </c>
      <c r="Q506" s="2" t="s">
        <v>1808</v>
      </c>
      <c r="R506" s="2"/>
      <c r="S506" s="2" t="s">
        <v>91</v>
      </c>
      <c r="T506" s="2" t="s">
        <v>1361</v>
      </c>
      <c r="U506" s="4" t="str">
        <f>HYPERLINK("https://dle.rae.es/evidencia","Abrir enlace")</f>
        <v>Abrir enlace</v>
      </c>
      <c r="V506" s="2" t="s">
        <v>1809</v>
      </c>
      <c r="W506" s="2"/>
      <c r="X506" s="2" t="s">
        <v>91</v>
      </c>
      <c r="Y506" s="2" t="s">
        <v>1361</v>
      </c>
      <c r="Z506" s="4" t="str">
        <f>HYPERLINK("https://definicion.com/evidencia/","Abrir enlace")</f>
        <v>Abrir enlace</v>
      </c>
      <c r="AA506" s="2"/>
      <c r="AB506" s="2"/>
      <c r="AC506" s="2"/>
      <c r="AD506" s="2"/>
      <c r="AE506" s="2"/>
    </row>
    <row r="507" ht="15.75" customHeight="1">
      <c r="A507" s="2">
        <v>507.0</v>
      </c>
      <c r="B507" s="2" t="s">
        <v>1810</v>
      </c>
      <c r="C507" s="2" t="s">
        <v>1811</v>
      </c>
      <c r="D507" s="2" t="s">
        <v>99</v>
      </c>
      <c r="E507" s="2" t="s">
        <v>64</v>
      </c>
      <c r="F507" s="2" t="s">
        <v>35</v>
      </c>
      <c r="G507" s="2"/>
      <c r="H507" s="2" t="s">
        <v>64</v>
      </c>
      <c r="I507" s="2" t="s">
        <v>189</v>
      </c>
      <c r="J507" s="2" t="s">
        <v>1812</v>
      </c>
      <c r="K507" s="4" t="str">
        <f>HYPERLINK("https://www.youtube.com/@pedroarnaud23","Abrir enlace")</f>
        <v>Abrir enlace</v>
      </c>
      <c r="L507" s="2" t="s">
        <v>1813</v>
      </c>
      <c r="M507" s="2"/>
      <c r="N507" s="2" t="s">
        <v>91</v>
      </c>
      <c r="O507" s="2" t="s">
        <v>1255</v>
      </c>
      <c r="P507" s="4" t="str">
        <f>HYPERLINK("https://www.youtube.com/@pedroarnaud23","Abrir enlace")</f>
        <v>Abrir enlace</v>
      </c>
      <c r="Q507" s="2" t="s">
        <v>1814</v>
      </c>
      <c r="R507" s="2"/>
      <c r="S507" s="2" t="s">
        <v>91</v>
      </c>
      <c r="T507" s="2" t="s">
        <v>1255</v>
      </c>
      <c r="U507" s="4" t="str">
        <f>HYPERLINK("https://www.linkedin.com/pub/dir/pedro/arnaud","Abrir enlace")</f>
        <v>Abrir enlace</v>
      </c>
      <c r="V507" s="2" t="s">
        <v>1815</v>
      </c>
      <c r="W507" s="2"/>
      <c r="X507" s="2" t="s">
        <v>91</v>
      </c>
      <c r="Y507" s="2" t="s">
        <v>962</v>
      </c>
      <c r="Z507" s="4" t="str">
        <f>HYPERLINK("https://www.zoominfo.com/p/Pedro-Arnaud/-1504169425","Abrir enlace")</f>
        <v>Abrir enlace</v>
      </c>
      <c r="AA507" s="2"/>
      <c r="AB507" s="2"/>
      <c r="AC507" s="2"/>
      <c r="AD507" s="2"/>
      <c r="AE507" s="2"/>
    </row>
    <row r="508" ht="15.75" customHeight="1">
      <c r="A508" s="2">
        <v>508.0</v>
      </c>
      <c r="B508" s="2" t="s">
        <v>1810</v>
      </c>
      <c r="C508" s="2" t="s">
        <v>1811</v>
      </c>
      <c r="D508" s="2" t="s">
        <v>99</v>
      </c>
      <c r="E508" s="2" t="s">
        <v>64</v>
      </c>
      <c r="F508" s="2" t="s">
        <v>35</v>
      </c>
      <c r="G508" s="2"/>
      <c r="H508" s="2" t="s">
        <v>64</v>
      </c>
      <c r="I508" s="2" t="s">
        <v>189</v>
      </c>
      <c r="J508" s="2" t="s">
        <v>1812</v>
      </c>
      <c r="K508" s="2" t="s">
        <v>757</v>
      </c>
      <c r="L508" s="2" t="s">
        <v>1813</v>
      </c>
      <c r="M508" s="2"/>
      <c r="N508" s="2" t="s">
        <v>91</v>
      </c>
      <c r="O508" s="2" t="s">
        <v>1255</v>
      </c>
      <c r="P508" s="2" t="s">
        <v>757</v>
      </c>
      <c r="Q508" s="2" t="s">
        <v>1814</v>
      </c>
      <c r="R508" s="2"/>
      <c r="S508" s="2" t="s">
        <v>91</v>
      </c>
      <c r="T508" s="2" t="s">
        <v>1255</v>
      </c>
      <c r="U508" s="2" t="s">
        <v>757</v>
      </c>
      <c r="V508" s="2" t="s">
        <v>1815</v>
      </c>
      <c r="W508" s="2"/>
      <c r="X508" s="2" t="s">
        <v>91</v>
      </c>
      <c r="Y508" s="2" t="s">
        <v>962</v>
      </c>
      <c r="Z508" s="2" t="s">
        <v>757</v>
      </c>
      <c r="AA508" s="2"/>
      <c r="AB508" s="2"/>
      <c r="AC508" s="2"/>
      <c r="AD508" s="2"/>
      <c r="AE508" s="2"/>
    </row>
    <row r="509" ht="15.75" customHeight="1">
      <c r="A509" s="2">
        <v>509.0</v>
      </c>
      <c r="B509" s="2" t="s">
        <v>1810</v>
      </c>
      <c r="C509" s="2" t="s">
        <v>1811</v>
      </c>
      <c r="D509" s="2" t="s">
        <v>99</v>
      </c>
      <c r="E509" s="2" t="s">
        <v>64</v>
      </c>
      <c r="F509" s="2" t="s">
        <v>35</v>
      </c>
      <c r="G509" s="2"/>
      <c r="H509" s="2" t="s">
        <v>64</v>
      </c>
      <c r="I509" s="2" t="s">
        <v>189</v>
      </c>
      <c r="J509" s="2" t="s">
        <v>1812</v>
      </c>
      <c r="K509" s="2" t="s">
        <v>757</v>
      </c>
      <c r="L509" s="2" t="s">
        <v>1813</v>
      </c>
      <c r="M509" s="2"/>
      <c r="N509" s="2" t="s">
        <v>91</v>
      </c>
      <c r="O509" s="2" t="s">
        <v>1255</v>
      </c>
      <c r="P509" s="2" t="s">
        <v>757</v>
      </c>
      <c r="Q509" s="2" t="s">
        <v>1814</v>
      </c>
      <c r="R509" s="2"/>
      <c r="S509" s="2" t="s">
        <v>91</v>
      </c>
      <c r="T509" s="2" t="s">
        <v>1255</v>
      </c>
      <c r="U509" s="2" t="s">
        <v>757</v>
      </c>
      <c r="V509" s="2" t="s">
        <v>1815</v>
      </c>
      <c r="W509" s="2"/>
      <c r="X509" s="2" t="s">
        <v>91</v>
      </c>
      <c r="Y509" s="2" t="s">
        <v>962</v>
      </c>
      <c r="Z509" s="2" t="s">
        <v>757</v>
      </c>
      <c r="AA509" s="2"/>
      <c r="AB509" s="2"/>
      <c r="AC509" s="2"/>
      <c r="AD509" s="2"/>
      <c r="AE509" s="2"/>
    </row>
    <row r="510" ht="15.75" customHeight="1">
      <c r="A510" s="2">
        <v>510.0</v>
      </c>
      <c r="B510" s="2" t="s">
        <v>1810</v>
      </c>
      <c r="C510" s="2" t="s">
        <v>1811</v>
      </c>
      <c r="D510" s="2" t="s">
        <v>99</v>
      </c>
      <c r="E510" s="2" t="s">
        <v>64</v>
      </c>
      <c r="F510" s="2" t="s">
        <v>35</v>
      </c>
      <c r="G510" s="2"/>
      <c r="H510" s="2" t="s">
        <v>64</v>
      </c>
      <c r="I510" s="2" t="s">
        <v>189</v>
      </c>
      <c r="J510" s="2" t="s">
        <v>1812</v>
      </c>
      <c r="K510" s="2" t="s">
        <v>757</v>
      </c>
      <c r="L510" s="2" t="s">
        <v>1813</v>
      </c>
      <c r="M510" s="2"/>
      <c r="N510" s="2" t="s">
        <v>91</v>
      </c>
      <c r="O510" s="2" t="s">
        <v>1255</v>
      </c>
      <c r="P510" s="2" t="s">
        <v>757</v>
      </c>
      <c r="Q510" s="2" t="s">
        <v>1814</v>
      </c>
      <c r="R510" s="2"/>
      <c r="S510" s="2" t="s">
        <v>91</v>
      </c>
      <c r="T510" s="2" t="s">
        <v>1255</v>
      </c>
      <c r="U510" s="2" t="s">
        <v>757</v>
      </c>
      <c r="V510" s="2" t="s">
        <v>1815</v>
      </c>
      <c r="W510" s="2"/>
      <c r="X510" s="2" t="s">
        <v>91</v>
      </c>
      <c r="Y510" s="2" t="s">
        <v>962</v>
      </c>
      <c r="Z510" s="2" t="s">
        <v>757</v>
      </c>
      <c r="AA510" s="2"/>
      <c r="AB510" s="2"/>
      <c r="AC510" s="2"/>
      <c r="AD510" s="2"/>
      <c r="AE510" s="2"/>
    </row>
    <row r="511" ht="15.75" customHeight="1">
      <c r="A511" s="2">
        <v>511.0</v>
      </c>
      <c r="B511" s="2" t="s">
        <v>1816</v>
      </c>
      <c r="C511" s="2" t="s">
        <v>1817</v>
      </c>
      <c r="D511" s="2" t="s">
        <v>33</v>
      </c>
      <c r="E511" s="2" t="s">
        <v>70</v>
      </c>
      <c r="F511" s="2" t="s">
        <v>35</v>
      </c>
      <c r="G511" s="2"/>
      <c r="H511" s="2" t="s">
        <v>70</v>
      </c>
      <c r="I511" s="2" t="s">
        <v>36</v>
      </c>
      <c r="J511" s="2" t="s">
        <v>1818</v>
      </c>
      <c r="K511" s="4" t="str">
        <f>HYPERLINK("https://openlibrary.org/works/OL6131403W","Abrir enlace")</f>
        <v>Abrir enlace</v>
      </c>
      <c r="L511" s="2" t="s">
        <v>1819</v>
      </c>
      <c r="M511" s="2" t="s">
        <v>1820</v>
      </c>
      <c r="N511" s="2" t="s">
        <v>45</v>
      </c>
      <c r="O511" s="2" t="s">
        <v>92</v>
      </c>
      <c r="P511" s="4" t="str">
        <f>HYPERLINK("https://openlibrary.org/works/OL6131403W","Abrir enlace")</f>
        <v>Abrir enlace</v>
      </c>
      <c r="Q511" s="2" t="s">
        <v>1821</v>
      </c>
      <c r="R511" s="2" t="s">
        <v>1822</v>
      </c>
      <c r="S511" s="2" t="s">
        <v>54</v>
      </c>
      <c r="T511" s="2" t="s">
        <v>1823</v>
      </c>
      <c r="U511" s="4" t="str">
        <f>HYPERLINK("https://archive.org/details/Oeuvres-metaphysiques-de-Condillac-revues-corrigees-augmentees-par-lauteur-et-PHAIDRA_o_168662","Abrir enlace")</f>
        <v>Abrir enlace</v>
      </c>
      <c r="V511" s="2" t="s">
        <v>1824</v>
      </c>
      <c r="W511" s="2" t="s">
        <v>1825</v>
      </c>
      <c r="X511" s="2" t="s">
        <v>54</v>
      </c>
      <c r="Y511" s="2" t="s">
        <v>1826</v>
      </c>
      <c r="Z511" s="4" t="str">
        <f>HYPERLINK("https://archive.org/details/oeuvrescompltes15frgoog","Abrir enlace")</f>
        <v>Abrir enlace</v>
      </c>
      <c r="AA511" s="2"/>
      <c r="AB511" s="2"/>
      <c r="AC511" s="2"/>
      <c r="AD511" s="2"/>
      <c r="AE511" s="2"/>
    </row>
    <row r="512" ht="15.75" customHeight="1">
      <c r="A512" s="2">
        <v>512.0</v>
      </c>
      <c r="B512" s="2" t="s">
        <v>1816</v>
      </c>
      <c r="C512" s="2" t="s">
        <v>1817</v>
      </c>
      <c r="D512" s="2" t="s">
        <v>33</v>
      </c>
      <c r="E512" s="2" t="s">
        <v>70</v>
      </c>
      <c r="F512" s="2" t="s">
        <v>35</v>
      </c>
      <c r="G512" s="2"/>
      <c r="H512" s="2" t="s">
        <v>70</v>
      </c>
      <c r="I512" s="2" t="s">
        <v>36</v>
      </c>
      <c r="J512" s="2" t="s">
        <v>1818</v>
      </c>
      <c r="K512" s="2" t="s">
        <v>757</v>
      </c>
      <c r="L512" s="2" t="s">
        <v>1819</v>
      </c>
      <c r="M512" s="2" t="s">
        <v>1820</v>
      </c>
      <c r="N512" s="2" t="s">
        <v>45</v>
      </c>
      <c r="O512" s="2" t="s">
        <v>92</v>
      </c>
      <c r="P512" s="2" t="s">
        <v>757</v>
      </c>
      <c r="Q512" s="2" t="s">
        <v>1821</v>
      </c>
      <c r="R512" s="2" t="s">
        <v>1822</v>
      </c>
      <c r="S512" s="2" t="s">
        <v>54</v>
      </c>
      <c r="T512" s="2" t="s">
        <v>1823</v>
      </c>
      <c r="U512" s="2" t="s">
        <v>757</v>
      </c>
      <c r="V512" s="2" t="s">
        <v>1824</v>
      </c>
      <c r="W512" s="2" t="s">
        <v>1825</v>
      </c>
      <c r="X512" s="2" t="s">
        <v>54</v>
      </c>
      <c r="Y512" s="2" t="s">
        <v>1826</v>
      </c>
      <c r="Z512" s="2" t="s">
        <v>757</v>
      </c>
      <c r="AA512" s="2"/>
      <c r="AB512" s="2"/>
      <c r="AC512" s="2"/>
      <c r="AD512" s="2"/>
      <c r="AE512" s="2"/>
    </row>
    <row r="513" ht="15.75" customHeight="1">
      <c r="A513" s="2">
        <v>513.0</v>
      </c>
      <c r="B513" s="2" t="s">
        <v>1816</v>
      </c>
      <c r="C513" s="2" t="s">
        <v>1817</v>
      </c>
      <c r="D513" s="2" t="s">
        <v>33</v>
      </c>
      <c r="E513" s="2" t="s">
        <v>70</v>
      </c>
      <c r="F513" s="2" t="s">
        <v>35</v>
      </c>
      <c r="G513" s="2"/>
      <c r="H513" s="2" t="s">
        <v>70</v>
      </c>
      <c r="I513" s="2" t="s">
        <v>36</v>
      </c>
      <c r="J513" s="2" t="s">
        <v>1818</v>
      </c>
      <c r="K513" s="2" t="s">
        <v>757</v>
      </c>
      <c r="L513" s="2" t="s">
        <v>1819</v>
      </c>
      <c r="M513" s="2" t="s">
        <v>1820</v>
      </c>
      <c r="N513" s="2" t="s">
        <v>45</v>
      </c>
      <c r="O513" s="2" t="s">
        <v>92</v>
      </c>
      <c r="P513" s="2" t="s">
        <v>757</v>
      </c>
      <c r="Q513" s="2" t="s">
        <v>1821</v>
      </c>
      <c r="R513" s="2" t="s">
        <v>1822</v>
      </c>
      <c r="S513" s="2" t="s">
        <v>54</v>
      </c>
      <c r="T513" s="2" t="s">
        <v>1823</v>
      </c>
      <c r="U513" s="2" t="s">
        <v>757</v>
      </c>
      <c r="V513" s="2" t="s">
        <v>1824</v>
      </c>
      <c r="W513" s="2" t="s">
        <v>1825</v>
      </c>
      <c r="X513" s="2" t="s">
        <v>54</v>
      </c>
      <c r="Y513" s="2" t="s">
        <v>1826</v>
      </c>
      <c r="Z513" s="2" t="s">
        <v>757</v>
      </c>
      <c r="AA513" s="2"/>
      <c r="AB513" s="2"/>
      <c r="AC513" s="2"/>
      <c r="AD513" s="2"/>
      <c r="AE513" s="2"/>
    </row>
    <row r="514" ht="15.75" customHeight="1">
      <c r="A514" s="2">
        <v>514.0</v>
      </c>
      <c r="B514" s="2" t="s">
        <v>1693</v>
      </c>
      <c r="C514" s="2" t="s">
        <v>1694</v>
      </c>
      <c r="D514" s="2" t="s">
        <v>33</v>
      </c>
      <c r="E514" s="2" t="s">
        <v>34</v>
      </c>
      <c r="F514" s="2" t="s">
        <v>35</v>
      </c>
      <c r="G514" s="2"/>
      <c r="H514" s="2" t="s">
        <v>34</v>
      </c>
      <c r="I514" s="2" t="s">
        <v>36</v>
      </c>
      <c r="J514" s="2" t="s">
        <v>1695</v>
      </c>
      <c r="K514" s="4" t="str">
        <f>HYPERLINK("https://gallica.bnf.fr/ark:/12148/bpt6k6568847q.texteImage","Abrir enlace")</f>
        <v>Abrir enlace</v>
      </c>
      <c r="L514" s="2" t="s">
        <v>1827</v>
      </c>
      <c r="M514" s="2"/>
      <c r="N514" s="2" t="s">
        <v>91</v>
      </c>
      <c r="O514" s="2" t="s">
        <v>1828</v>
      </c>
      <c r="P514" s="4" t="str">
        <f>HYPERLINK("https://gallica.bnf.fr/ark:/12148/bpt6k6568847q.texteImage","Abrir enlace")</f>
        <v>Abrir enlace</v>
      </c>
      <c r="Q514" s="2" t="s">
        <v>1829</v>
      </c>
      <c r="R514" s="2"/>
      <c r="S514" s="2" t="s">
        <v>91</v>
      </c>
      <c r="T514" s="2" t="s">
        <v>1015</v>
      </c>
      <c r="U514" s="4" t="str">
        <f>HYPERLINK("https://www.iberlibro.com/1825.--LECCIONES-GEOGRAFIA-GAULTIER/31423362394/bd","Abrir enlace")</f>
        <v>Abrir enlace</v>
      </c>
      <c r="V514" s="2" t="s">
        <v>1830</v>
      </c>
      <c r="W514" s="2"/>
      <c r="X514" s="2" t="s">
        <v>91</v>
      </c>
      <c r="Y514" s="2" t="s">
        <v>1831</v>
      </c>
      <c r="Z514" s="4" t="str">
        <f>HYPERLINK("https://www.bibliotecadigitaldeandalucia.es/catalogo/es/consulta/registro.do?id=7607","Abrir enlace")</f>
        <v>Abrir enlace</v>
      </c>
      <c r="AA514" s="2"/>
      <c r="AB514" s="2"/>
      <c r="AC514" s="2"/>
      <c r="AD514" s="2"/>
      <c r="AE514" s="2"/>
    </row>
    <row r="515" ht="15.75" customHeight="1">
      <c r="A515" s="2">
        <v>515.0</v>
      </c>
      <c r="B515" s="2" t="s">
        <v>1832</v>
      </c>
      <c r="C515" s="2" t="s">
        <v>1833</v>
      </c>
      <c r="D515" s="2" t="s">
        <v>33</v>
      </c>
      <c r="E515" s="2" t="s">
        <v>64</v>
      </c>
      <c r="F515" s="2" t="s">
        <v>35</v>
      </c>
      <c r="G515" s="2"/>
      <c r="H515" s="2" t="s">
        <v>64</v>
      </c>
      <c r="I515" s="2" t="s">
        <v>36</v>
      </c>
      <c r="J515" s="2" t="s">
        <v>1834</v>
      </c>
      <c r="K515" s="4" t="str">
        <f>HYPERLINK("https://books.google.com/books/about/Ensayo_sobre_la_distincion_de_los_sinón.html?id=36BWAAAAcAAJ","Abrir enlace")</f>
        <v>Abrir enlace</v>
      </c>
      <c r="L515" s="2" t="s">
        <v>1835</v>
      </c>
      <c r="M515" s="2"/>
      <c r="N515" s="2" t="s">
        <v>91</v>
      </c>
      <c r="O515" s="2" t="s">
        <v>92</v>
      </c>
      <c r="P515" s="4" t="str">
        <f>HYPERLINK("https://books.google.com/books/about/Ensayo_sobre_la_distincion_de_los_sinón.html?id=36BWAAAAcAAJ","Abrir enlace")</f>
        <v>Abrir enlace</v>
      </c>
      <c r="Q515" s="2" t="s">
        <v>1836</v>
      </c>
      <c r="R515" s="2"/>
      <c r="S515" s="2" t="s">
        <v>91</v>
      </c>
      <c r="T515" s="2" t="s">
        <v>1490</v>
      </c>
      <c r="U515" s="4" t="str">
        <f>HYPERLINK("https://bibliotecavirtualmadrid.comunidad.madrid/bvmadrid_publicacion/es/consulta/registro.do?id=3801","Abrir enlace")</f>
        <v>Abrir enlace</v>
      </c>
      <c r="V515" s="2" t="s">
        <v>1837</v>
      </c>
      <c r="W515" s="2" t="s">
        <v>1838</v>
      </c>
      <c r="X515" s="2" t="s">
        <v>54</v>
      </c>
      <c r="Y515" s="2" t="s">
        <v>1667</v>
      </c>
      <c r="Z515" s="4" t="str">
        <f>HYPERLINK("https://archive.org/details/cinco-puntos-de-vista-sobre-la-inerrancia-biblica","Abrir enlace")</f>
        <v>Abrir enlace</v>
      </c>
      <c r="AA515" s="2"/>
      <c r="AB515" s="2"/>
      <c r="AC515" s="2"/>
      <c r="AD515" s="2"/>
      <c r="AE515" s="2"/>
    </row>
    <row r="516" ht="15.75" customHeight="1">
      <c r="A516" s="2">
        <v>516.0</v>
      </c>
      <c r="B516" s="2" t="s">
        <v>1839</v>
      </c>
      <c r="C516" s="2" t="s">
        <v>1840</v>
      </c>
      <c r="D516" s="2" t="s">
        <v>33</v>
      </c>
      <c r="E516" s="2" t="s">
        <v>64</v>
      </c>
      <c r="F516" s="2" t="s">
        <v>35</v>
      </c>
      <c r="G516" s="2"/>
      <c r="H516" s="2" t="s">
        <v>64</v>
      </c>
      <c r="I516" s="2" t="s">
        <v>36</v>
      </c>
      <c r="J516" s="2" t="s">
        <v>1841</v>
      </c>
      <c r="K516" s="4" t="str">
        <f>HYPERLINK("https://babel.hathitrust.org/cgi/pt?id=ucm.5327108117","Abrir enlace")</f>
        <v>Abrir enlace</v>
      </c>
      <c r="L516" s="2" t="s">
        <v>1842</v>
      </c>
      <c r="M516" s="2"/>
      <c r="N516" s="2" t="s">
        <v>91</v>
      </c>
      <c r="O516" s="2" t="s">
        <v>1843</v>
      </c>
      <c r="P516" s="4" t="str">
        <f>HYPERLINK("https://babel.hathitrust.org/cgi/pt?id=ucm.5327108117","Abrir enlace")</f>
        <v>Abrir enlace</v>
      </c>
      <c r="Q516" s="2" t="s">
        <v>1844</v>
      </c>
      <c r="R516" s="2"/>
      <c r="S516" s="2" t="s">
        <v>91</v>
      </c>
      <c r="T516" s="2" t="s">
        <v>726</v>
      </c>
      <c r="U516" s="4" t="str">
        <f>HYPERLINK("https://encuadernacion.realbiblioteca.es/node/12096","Abrir enlace")</f>
        <v>Abrir enlace</v>
      </c>
      <c r="V516" s="2" t="s">
        <v>1845</v>
      </c>
      <c r="W516" s="2"/>
      <c r="X516" s="2" t="s">
        <v>91</v>
      </c>
      <c r="Y516" s="2" t="s">
        <v>1846</v>
      </c>
      <c r="Z516" s="4" t="str">
        <f>HYPERLINK("https://www.bieses.net/wp-content/uploads/2016/03/caso_modoenseñar_1755.pdf","Abrir enlace")</f>
        <v>Abrir enlace</v>
      </c>
      <c r="AA516" s="2"/>
      <c r="AB516" s="2"/>
      <c r="AC516" s="2"/>
      <c r="AD516" s="2"/>
      <c r="AE516" s="2"/>
    </row>
    <row r="517" ht="15.75" customHeight="1">
      <c r="A517" s="2">
        <v>517.0</v>
      </c>
      <c r="B517" s="2" t="s">
        <v>1839</v>
      </c>
      <c r="C517" s="2" t="s">
        <v>1840</v>
      </c>
      <c r="D517" s="2" t="s">
        <v>33</v>
      </c>
      <c r="E517" s="2" t="s">
        <v>64</v>
      </c>
      <c r="F517" s="2" t="s">
        <v>35</v>
      </c>
      <c r="G517" s="2"/>
      <c r="H517" s="2" t="s">
        <v>64</v>
      </c>
      <c r="I517" s="2" t="s">
        <v>36</v>
      </c>
      <c r="J517" s="2" t="s">
        <v>1841</v>
      </c>
      <c r="K517" s="2" t="s">
        <v>757</v>
      </c>
      <c r="L517" s="2" t="s">
        <v>1842</v>
      </c>
      <c r="M517" s="2"/>
      <c r="N517" s="2" t="s">
        <v>91</v>
      </c>
      <c r="O517" s="2" t="s">
        <v>1843</v>
      </c>
      <c r="P517" s="2" t="s">
        <v>757</v>
      </c>
      <c r="Q517" s="2" t="s">
        <v>1844</v>
      </c>
      <c r="R517" s="2"/>
      <c r="S517" s="2" t="s">
        <v>91</v>
      </c>
      <c r="T517" s="2" t="s">
        <v>726</v>
      </c>
      <c r="U517" s="2" t="s">
        <v>757</v>
      </c>
      <c r="V517" s="2" t="s">
        <v>1845</v>
      </c>
      <c r="W517" s="2"/>
      <c r="X517" s="2" t="s">
        <v>91</v>
      </c>
      <c r="Y517" s="2" t="s">
        <v>1846</v>
      </c>
      <c r="Z517" s="2" t="s">
        <v>757</v>
      </c>
      <c r="AA517" s="2"/>
      <c r="AB517" s="2"/>
      <c r="AC517" s="2"/>
      <c r="AD517" s="2"/>
      <c r="AE517" s="2"/>
    </row>
    <row r="518" ht="15.75" customHeight="1">
      <c r="A518" s="2">
        <v>518.0</v>
      </c>
      <c r="B518" s="2" t="s">
        <v>1839</v>
      </c>
      <c r="C518" s="2" t="s">
        <v>1840</v>
      </c>
      <c r="D518" s="2" t="s">
        <v>33</v>
      </c>
      <c r="E518" s="2" t="s">
        <v>64</v>
      </c>
      <c r="F518" s="2" t="s">
        <v>35</v>
      </c>
      <c r="G518" s="2"/>
      <c r="H518" s="2" t="s">
        <v>64</v>
      </c>
      <c r="I518" s="2" t="s">
        <v>36</v>
      </c>
      <c r="J518" s="2" t="s">
        <v>1841</v>
      </c>
      <c r="K518" s="2" t="s">
        <v>757</v>
      </c>
      <c r="L518" s="2" t="s">
        <v>1842</v>
      </c>
      <c r="M518" s="2"/>
      <c r="N518" s="2" t="s">
        <v>91</v>
      </c>
      <c r="O518" s="2" t="s">
        <v>1843</v>
      </c>
      <c r="P518" s="2" t="s">
        <v>757</v>
      </c>
      <c r="Q518" s="2" t="s">
        <v>1844</v>
      </c>
      <c r="R518" s="2"/>
      <c r="S518" s="2" t="s">
        <v>91</v>
      </c>
      <c r="T518" s="2" t="s">
        <v>726</v>
      </c>
      <c r="U518" s="2" t="s">
        <v>757</v>
      </c>
      <c r="V518" s="2" t="s">
        <v>1845</v>
      </c>
      <c r="W518" s="2"/>
      <c r="X518" s="2" t="s">
        <v>91</v>
      </c>
      <c r="Y518" s="2" t="s">
        <v>1846</v>
      </c>
      <c r="Z518" s="2" t="s">
        <v>757</v>
      </c>
      <c r="AA518" s="2"/>
      <c r="AB518" s="2"/>
      <c r="AC518" s="2"/>
      <c r="AD518" s="2"/>
      <c r="AE518" s="2"/>
    </row>
    <row r="519" ht="15.75" customHeight="1">
      <c r="A519" s="2">
        <v>519.0</v>
      </c>
      <c r="B519" s="2" t="s">
        <v>1839</v>
      </c>
      <c r="C519" s="2" t="s">
        <v>1840</v>
      </c>
      <c r="D519" s="2" t="s">
        <v>33</v>
      </c>
      <c r="E519" s="2" t="s">
        <v>64</v>
      </c>
      <c r="F519" s="2" t="s">
        <v>35</v>
      </c>
      <c r="G519" s="2"/>
      <c r="H519" s="2" t="s">
        <v>64</v>
      </c>
      <c r="I519" s="2" t="s">
        <v>36</v>
      </c>
      <c r="J519" s="2" t="s">
        <v>1841</v>
      </c>
      <c r="K519" s="2" t="s">
        <v>757</v>
      </c>
      <c r="L519" s="2" t="s">
        <v>1842</v>
      </c>
      <c r="M519" s="2"/>
      <c r="N519" s="2" t="s">
        <v>91</v>
      </c>
      <c r="O519" s="2" t="s">
        <v>1843</v>
      </c>
      <c r="P519" s="2" t="s">
        <v>757</v>
      </c>
      <c r="Q519" s="2" t="s">
        <v>1844</v>
      </c>
      <c r="R519" s="2"/>
      <c r="S519" s="2" t="s">
        <v>91</v>
      </c>
      <c r="T519" s="2" t="s">
        <v>726</v>
      </c>
      <c r="U519" s="2" t="s">
        <v>757</v>
      </c>
      <c r="V519" s="2" t="s">
        <v>1845</v>
      </c>
      <c r="W519" s="2"/>
      <c r="X519" s="2" t="s">
        <v>91</v>
      </c>
      <c r="Y519" s="2" t="s">
        <v>1846</v>
      </c>
      <c r="Z519" s="2" t="s">
        <v>757</v>
      </c>
      <c r="AA519" s="2"/>
      <c r="AB519" s="2"/>
      <c r="AC519" s="2"/>
      <c r="AD519" s="2"/>
      <c r="AE519" s="2"/>
    </row>
    <row r="520" ht="15.75" customHeight="1">
      <c r="A520" s="2">
        <v>520.0</v>
      </c>
      <c r="B520" s="2" t="s">
        <v>1839</v>
      </c>
      <c r="C520" s="2" t="s">
        <v>1840</v>
      </c>
      <c r="D520" s="2" t="s">
        <v>33</v>
      </c>
      <c r="E520" s="2" t="s">
        <v>64</v>
      </c>
      <c r="F520" s="2" t="s">
        <v>35</v>
      </c>
      <c r="G520" s="2"/>
      <c r="H520" s="2" t="s">
        <v>64</v>
      </c>
      <c r="I520" s="2" t="s">
        <v>36</v>
      </c>
      <c r="J520" s="2" t="s">
        <v>1841</v>
      </c>
      <c r="K520" s="2" t="s">
        <v>757</v>
      </c>
      <c r="L520" s="2" t="s">
        <v>1842</v>
      </c>
      <c r="M520" s="2"/>
      <c r="N520" s="2" t="s">
        <v>91</v>
      </c>
      <c r="O520" s="2" t="s">
        <v>1843</v>
      </c>
      <c r="P520" s="2" t="s">
        <v>757</v>
      </c>
      <c r="Q520" s="2" t="s">
        <v>1844</v>
      </c>
      <c r="R520" s="2"/>
      <c r="S520" s="2" t="s">
        <v>91</v>
      </c>
      <c r="T520" s="2" t="s">
        <v>726</v>
      </c>
      <c r="U520" s="2" t="s">
        <v>757</v>
      </c>
      <c r="V520" s="2" t="s">
        <v>1845</v>
      </c>
      <c r="W520" s="2"/>
      <c r="X520" s="2" t="s">
        <v>91</v>
      </c>
      <c r="Y520" s="2" t="s">
        <v>1846</v>
      </c>
      <c r="Z520" s="2" t="s">
        <v>757</v>
      </c>
      <c r="AA520" s="2"/>
      <c r="AB520" s="2"/>
      <c r="AC520" s="2"/>
      <c r="AD520" s="2"/>
      <c r="AE520" s="2"/>
    </row>
    <row r="521" ht="15.75" customHeight="1">
      <c r="A521" s="2">
        <v>521.0</v>
      </c>
      <c r="B521" s="2" t="s">
        <v>1847</v>
      </c>
      <c r="C521" s="2" t="s">
        <v>1848</v>
      </c>
      <c r="D521" s="2" t="s">
        <v>49</v>
      </c>
      <c r="E521" s="2" t="s">
        <v>112</v>
      </c>
      <c r="F521" s="2" t="s">
        <v>35</v>
      </c>
      <c r="G521" s="2"/>
      <c r="H521" s="2" t="s">
        <v>112</v>
      </c>
      <c r="I521" s="2" t="s">
        <v>36</v>
      </c>
      <c r="J521" s="2" t="s">
        <v>1849</v>
      </c>
      <c r="K521" s="4" t="str">
        <f>HYPERLINK("http://hedatuz.euskomedia.org/id/eprint/10592","Abrir enlace")</f>
        <v>Abrir enlace</v>
      </c>
      <c r="L521" s="2" t="s">
        <v>1850</v>
      </c>
      <c r="M521" s="2"/>
      <c r="N521" s="2" t="s">
        <v>91</v>
      </c>
      <c r="O521" s="2" t="s">
        <v>1247</v>
      </c>
      <c r="P521" s="4" t="str">
        <f>HYPERLINK("http://hedatuz.euskomedia.org/id/eprint/10592","Abrir enlace")</f>
        <v>Abrir enlace</v>
      </c>
      <c r="Q521" s="2" t="s">
        <v>1851</v>
      </c>
      <c r="R521" s="2"/>
      <c r="S521" s="2" t="s">
        <v>91</v>
      </c>
      <c r="T521" s="2" t="s">
        <v>1852</v>
      </c>
      <c r="U521" s="4" t="str">
        <f>HYPERLINK("https://www.readings.com.au/product/9781276167291/sancti-aurelii-augistini-opuscula-quibus-institutio-universae-theologiae-comprehenditur-in-usum-candidatorum-theologiae--2012--978"&amp;"1276167291","Abrir enlace")</f>
        <v>Abrir enlace</v>
      </c>
      <c r="V521" s="2" t="s">
        <v>1853</v>
      </c>
      <c r="W521" s="2"/>
      <c r="X521" s="2" t="s">
        <v>91</v>
      </c>
      <c r="Y521" s="2" t="s">
        <v>1854</v>
      </c>
      <c r="Z521" s="4" t="str">
        <f>HYPERLINK("https://fgcu-flvc.primo.exlibrisgroup.com/discovery/fulldisplay/alma99383550585506570/01FALSC_FGCU:CUSTOM","Abrir enlace")</f>
        <v>Abrir enlace</v>
      </c>
      <c r="AA521" s="2"/>
      <c r="AB521" s="2"/>
      <c r="AC521" s="2"/>
      <c r="AD521" s="2"/>
      <c r="AE521" s="2"/>
    </row>
    <row r="522" ht="15.75" customHeight="1">
      <c r="A522" s="2">
        <v>522.0</v>
      </c>
      <c r="B522" s="2" t="s">
        <v>1847</v>
      </c>
      <c r="C522" s="2" t="s">
        <v>1848</v>
      </c>
      <c r="D522" s="2" t="s">
        <v>49</v>
      </c>
      <c r="E522" s="2" t="s">
        <v>112</v>
      </c>
      <c r="F522" s="2" t="s">
        <v>35</v>
      </c>
      <c r="G522" s="2"/>
      <c r="H522" s="2" t="s">
        <v>112</v>
      </c>
      <c r="I522" s="2" t="s">
        <v>36</v>
      </c>
      <c r="J522" s="2" t="s">
        <v>1849</v>
      </c>
      <c r="K522" s="2" t="s">
        <v>757</v>
      </c>
      <c r="L522" s="2" t="s">
        <v>1850</v>
      </c>
      <c r="M522" s="2"/>
      <c r="N522" s="2" t="s">
        <v>91</v>
      </c>
      <c r="O522" s="2" t="s">
        <v>1247</v>
      </c>
      <c r="P522" s="2" t="s">
        <v>757</v>
      </c>
      <c r="Q522" s="2" t="s">
        <v>1851</v>
      </c>
      <c r="R522" s="2"/>
      <c r="S522" s="2" t="s">
        <v>91</v>
      </c>
      <c r="T522" s="2" t="s">
        <v>1852</v>
      </c>
      <c r="U522" s="2" t="s">
        <v>757</v>
      </c>
      <c r="V522" s="2" t="s">
        <v>1853</v>
      </c>
      <c r="W522" s="2"/>
      <c r="X522" s="2" t="s">
        <v>91</v>
      </c>
      <c r="Y522" s="2" t="s">
        <v>1854</v>
      </c>
      <c r="Z522" s="2" t="s">
        <v>757</v>
      </c>
      <c r="AA522" s="2"/>
      <c r="AB522" s="2"/>
      <c r="AC522" s="2"/>
      <c r="AD522" s="2"/>
      <c r="AE522" s="2"/>
    </row>
    <row r="523" ht="15.75" customHeight="1">
      <c r="A523" s="2">
        <v>523.0</v>
      </c>
      <c r="B523" s="2" t="s">
        <v>1847</v>
      </c>
      <c r="C523" s="2" t="s">
        <v>1848</v>
      </c>
      <c r="D523" s="2" t="s">
        <v>49</v>
      </c>
      <c r="E523" s="2" t="s">
        <v>112</v>
      </c>
      <c r="F523" s="2" t="s">
        <v>35</v>
      </c>
      <c r="G523" s="2"/>
      <c r="H523" s="2" t="s">
        <v>112</v>
      </c>
      <c r="I523" s="2" t="s">
        <v>36</v>
      </c>
      <c r="J523" s="2" t="s">
        <v>1849</v>
      </c>
      <c r="K523" s="2" t="s">
        <v>757</v>
      </c>
      <c r="L523" s="2" t="s">
        <v>1850</v>
      </c>
      <c r="M523" s="2"/>
      <c r="N523" s="2" t="s">
        <v>91</v>
      </c>
      <c r="O523" s="2" t="s">
        <v>1247</v>
      </c>
      <c r="P523" s="2" t="s">
        <v>757</v>
      </c>
      <c r="Q523" s="2" t="s">
        <v>1851</v>
      </c>
      <c r="R523" s="2"/>
      <c r="S523" s="2" t="s">
        <v>91</v>
      </c>
      <c r="T523" s="2" t="s">
        <v>1852</v>
      </c>
      <c r="U523" s="2" t="s">
        <v>757</v>
      </c>
      <c r="V523" s="2" t="s">
        <v>1853</v>
      </c>
      <c r="W523" s="2"/>
      <c r="X523" s="2" t="s">
        <v>91</v>
      </c>
      <c r="Y523" s="2" t="s">
        <v>1854</v>
      </c>
      <c r="Z523" s="2" t="s">
        <v>757</v>
      </c>
      <c r="AA523" s="2"/>
      <c r="AB523" s="2"/>
      <c r="AC523" s="2"/>
      <c r="AD523" s="2"/>
      <c r="AE523" s="2"/>
    </row>
    <row r="524" ht="15.75" customHeight="1">
      <c r="A524" s="2">
        <v>524.0</v>
      </c>
      <c r="B524" s="2" t="s">
        <v>1847</v>
      </c>
      <c r="C524" s="2" t="s">
        <v>1848</v>
      </c>
      <c r="D524" s="2" t="s">
        <v>49</v>
      </c>
      <c r="E524" s="2" t="s">
        <v>112</v>
      </c>
      <c r="F524" s="2" t="s">
        <v>35</v>
      </c>
      <c r="G524" s="2"/>
      <c r="H524" s="2" t="s">
        <v>112</v>
      </c>
      <c r="I524" s="2" t="s">
        <v>36</v>
      </c>
      <c r="J524" s="2" t="s">
        <v>1849</v>
      </c>
      <c r="K524" s="2" t="s">
        <v>757</v>
      </c>
      <c r="L524" s="2" t="s">
        <v>1850</v>
      </c>
      <c r="M524" s="2"/>
      <c r="N524" s="2" t="s">
        <v>91</v>
      </c>
      <c r="O524" s="2" t="s">
        <v>1247</v>
      </c>
      <c r="P524" s="2" t="s">
        <v>757</v>
      </c>
      <c r="Q524" s="2" t="s">
        <v>1851</v>
      </c>
      <c r="R524" s="2"/>
      <c r="S524" s="2" t="s">
        <v>91</v>
      </c>
      <c r="T524" s="2" t="s">
        <v>1852</v>
      </c>
      <c r="U524" s="2" t="s">
        <v>757</v>
      </c>
      <c r="V524" s="2" t="s">
        <v>1853</v>
      </c>
      <c r="W524" s="2"/>
      <c r="X524" s="2" t="s">
        <v>91</v>
      </c>
      <c r="Y524" s="2" t="s">
        <v>1854</v>
      </c>
      <c r="Z524" s="2" t="s">
        <v>757</v>
      </c>
      <c r="AA524" s="2"/>
      <c r="AB524" s="2"/>
      <c r="AC524" s="2"/>
      <c r="AD524" s="2"/>
      <c r="AE524" s="2"/>
    </row>
    <row r="525" ht="15.75" customHeight="1">
      <c r="A525" s="2">
        <v>525.0</v>
      </c>
      <c r="B525" s="2" t="s">
        <v>1847</v>
      </c>
      <c r="C525" s="2" t="s">
        <v>1848</v>
      </c>
      <c r="D525" s="2" t="s">
        <v>49</v>
      </c>
      <c r="E525" s="2" t="s">
        <v>112</v>
      </c>
      <c r="F525" s="2" t="s">
        <v>35</v>
      </c>
      <c r="G525" s="2"/>
      <c r="H525" s="2" t="s">
        <v>112</v>
      </c>
      <c r="I525" s="2" t="s">
        <v>36</v>
      </c>
      <c r="J525" s="2" t="s">
        <v>1849</v>
      </c>
      <c r="K525" s="2" t="s">
        <v>757</v>
      </c>
      <c r="L525" s="2" t="s">
        <v>1850</v>
      </c>
      <c r="M525" s="2"/>
      <c r="N525" s="2" t="s">
        <v>91</v>
      </c>
      <c r="O525" s="2" t="s">
        <v>1247</v>
      </c>
      <c r="P525" s="2" t="s">
        <v>757</v>
      </c>
      <c r="Q525" s="2" t="s">
        <v>1851</v>
      </c>
      <c r="R525" s="2"/>
      <c r="S525" s="2" t="s">
        <v>91</v>
      </c>
      <c r="T525" s="2" t="s">
        <v>1852</v>
      </c>
      <c r="U525" s="2" t="s">
        <v>757</v>
      </c>
      <c r="V525" s="2" t="s">
        <v>1853</v>
      </c>
      <c r="W525" s="2"/>
      <c r="X525" s="2" t="s">
        <v>91</v>
      </c>
      <c r="Y525" s="2" t="s">
        <v>1854</v>
      </c>
      <c r="Z525" s="2" t="s">
        <v>757</v>
      </c>
      <c r="AA525" s="2"/>
      <c r="AB525" s="2"/>
      <c r="AC525" s="2"/>
      <c r="AD525" s="2"/>
      <c r="AE525" s="2"/>
    </row>
    <row r="526" ht="15.75" customHeight="1">
      <c r="A526" s="2">
        <v>526.0</v>
      </c>
      <c r="B526" s="2" t="s">
        <v>1847</v>
      </c>
      <c r="C526" s="2" t="s">
        <v>1848</v>
      </c>
      <c r="D526" s="2" t="s">
        <v>49</v>
      </c>
      <c r="E526" s="2" t="s">
        <v>112</v>
      </c>
      <c r="F526" s="2" t="s">
        <v>35</v>
      </c>
      <c r="G526" s="2"/>
      <c r="H526" s="2" t="s">
        <v>112</v>
      </c>
      <c r="I526" s="2" t="s">
        <v>36</v>
      </c>
      <c r="J526" s="2" t="s">
        <v>1849</v>
      </c>
      <c r="K526" s="2" t="s">
        <v>757</v>
      </c>
      <c r="L526" s="2" t="s">
        <v>1850</v>
      </c>
      <c r="M526" s="2"/>
      <c r="N526" s="2" t="s">
        <v>91</v>
      </c>
      <c r="O526" s="2" t="s">
        <v>1247</v>
      </c>
      <c r="P526" s="2" t="s">
        <v>757</v>
      </c>
      <c r="Q526" s="2" t="s">
        <v>1851</v>
      </c>
      <c r="R526" s="2"/>
      <c r="S526" s="2" t="s">
        <v>91</v>
      </c>
      <c r="T526" s="2" t="s">
        <v>1852</v>
      </c>
      <c r="U526" s="2" t="s">
        <v>757</v>
      </c>
      <c r="V526" s="2" t="s">
        <v>1853</v>
      </c>
      <c r="W526" s="2"/>
      <c r="X526" s="2" t="s">
        <v>91</v>
      </c>
      <c r="Y526" s="2" t="s">
        <v>1854</v>
      </c>
      <c r="Z526" s="2" t="s">
        <v>757</v>
      </c>
      <c r="AA526" s="2"/>
      <c r="AB526" s="2"/>
      <c r="AC526" s="2"/>
      <c r="AD526" s="2"/>
      <c r="AE526" s="2"/>
    </row>
    <row r="527" ht="15.75" customHeight="1">
      <c r="A527" s="2">
        <v>527.0</v>
      </c>
      <c r="B527" s="2" t="s">
        <v>1847</v>
      </c>
      <c r="C527" s="2" t="s">
        <v>1848</v>
      </c>
      <c r="D527" s="2" t="s">
        <v>49</v>
      </c>
      <c r="E527" s="2" t="s">
        <v>112</v>
      </c>
      <c r="F527" s="2" t="s">
        <v>35</v>
      </c>
      <c r="G527" s="2"/>
      <c r="H527" s="2" t="s">
        <v>112</v>
      </c>
      <c r="I527" s="2" t="s">
        <v>36</v>
      </c>
      <c r="J527" s="2" t="s">
        <v>1849</v>
      </c>
      <c r="K527" s="2" t="s">
        <v>757</v>
      </c>
      <c r="L527" s="2" t="s">
        <v>1850</v>
      </c>
      <c r="M527" s="2"/>
      <c r="N527" s="2" t="s">
        <v>91</v>
      </c>
      <c r="O527" s="2" t="s">
        <v>1247</v>
      </c>
      <c r="P527" s="2" t="s">
        <v>757</v>
      </c>
      <c r="Q527" s="2" t="s">
        <v>1851</v>
      </c>
      <c r="R527" s="2"/>
      <c r="S527" s="2" t="s">
        <v>91</v>
      </c>
      <c r="T527" s="2" t="s">
        <v>1852</v>
      </c>
      <c r="U527" s="2" t="s">
        <v>757</v>
      </c>
      <c r="V527" s="2" t="s">
        <v>1853</v>
      </c>
      <c r="W527" s="2"/>
      <c r="X527" s="2" t="s">
        <v>91</v>
      </c>
      <c r="Y527" s="2" t="s">
        <v>1854</v>
      </c>
      <c r="Z527" s="2" t="s">
        <v>757</v>
      </c>
      <c r="AA527" s="2"/>
      <c r="AB527" s="2"/>
      <c r="AC527" s="2"/>
      <c r="AD527" s="2"/>
      <c r="AE527" s="2"/>
    </row>
    <row r="528" ht="15.75" customHeight="1">
      <c r="A528" s="2">
        <v>528.0</v>
      </c>
      <c r="B528" s="2" t="s">
        <v>1847</v>
      </c>
      <c r="C528" s="2" t="s">
        <v>1848</v>
      </c>
      <c r="D528" s="2" t="s">
        <v>49</v>
      </c>
      <c r="E528" s="2" t="s">
        <v>112</v>
      </c>
      <c r="F528" s="2" t="s">
        <v>35</v>
      </c>
      <c r="G528" s="2"/>
      <c r="H528" s="2" t="s">
        <v>112</v>
      </c>
      <c r="I528" s="2" t="s">
        <v>36</v>
      </c>
      <c r="J528" s="2" t="s">
        <v>1849</v>
      </c>
      <c r="K528" s="2" t="s">
        <v>757</v>
      </c>
      <c r="L528" s="2" t="s">
        <v>1850</v>
      </c>
      <c r="M528" s="2"/>
      <c r="N528" s="2" t="s">
        <v>91</v>
      </c>
      <c r="O528" s="2" t="s">
        <v>1247</v>
      </c>
      <c r="P528" s="2" t="s">
        <v>757</v>
      </c>
      <c r="Q528" s="2" t="s">
        <v>1851</v>
      </c>
      <c r="R528" s="2"/>
      <c r="S528" s="2" t="s">
        <v>91</v>
      </c>
      <c r="T528" s="2" t="s">
        <v>1852</v>
      </c>
      <c r="U528" s="2" t="s">
        <v>757</v>
      </c>
      <c r="V528" s="2" t="s">
        <v>1853</v>
      </c>
      <c r="W528" s="2"/>
      <c r="X528" s="2" t="s">
        <v>91</v>
      </c>
      <c r="Y528" s="2" t="s">
        <v>1854</v>
      </c>
      <c r="Z528" s="2" t="s">
        <v>757</v>
      </c>
      <c r="AA528" s="2"/>
      <c r="AB528" s="2"/>
      <c r="AC528" s="2"/>
      <c r="AD528" s="2"/>
      <c r="AE528" s="2"/>
    </row>
    <row r="529" ht="15.75" customHeight="1">
      <c r="A529" s="2">
        <v>529.0</v>
      </c>
      <c r="B529" s="2" t="s">
        <v>1855</v>
      </c>
      <c r="C529" s="2" t="s">
        <v>1856</v>
      </c>
      <c r="D529" s="2" t="s">
        <v>33</v>
      </c>
      <c r="E529" s="2" t="s">
        <v>34</v>
      </c>
      <c r="F529" s="3" t="s">
        <v>35</v>
      </c>
      <c r="G529" s="2"/>
      <c r="H529" s="2" t="s">
        <v>34</v>
      </c>
      <c r="I529" s="2" t="s">
        <v>36</v>
      </c>
      <c r="J529" s="2" t="s">
        <v>37</v>
      </c>
      <c r="K529" s="4" t="str">
        <f t="shared" ref="K529:K530" si="49">HYPERLINK("https://openlibrary.org/works/OL39475504W","Abrir enlace")</f>
        <v>Abrir enlace</v>
      </c>
      <c r="L529" s="2" t="s">
        <v>1857</v>
      </c>
      <c r="M529" s="2"/>
      <c r="N529" s="2" t="s">
        <v>45</v>
      </c>
      <c r="O529" s="2"/>
      <c r="P529" s="4" t="str">
        <f t="shared" ref="P529:P530" si="50">HYPERLINK("https://openlibrary.org/works/OL39475504W","Abrir enlace")</f>
        <v>Abrir enlace</v>
      </c>
      <c r="Q529" s="2"/>
      <c r="R529" s="2"/>
      <c r="S529" s="2"/>
      <c r="T529" s="2"/>
      <c r="U529" s="2"/>
      <c r="V529" s="2"/>
      <c r="W529" s="2"/>
      <c r="X529" s="2"/>
      <c r="Y529" s="2"/>
      <c r="Z529" s="2"/>
      <c r="AA529" s="2" t="s">
        <v>40</v>
      </c>
      <c r="AB529" s="2" t="s">
        <v>41</v>
      </c>
      <c r="AC529" s="2"/>
      <c r="AD529" s="2"/>
      <c r="AE529" s="2"/>
    </row>
    <row r="530" ht="15.75" customHeight="1">
      <c r="A530" s="2">
        <v>530.0</v>
      </c>
      <c r="B530" s="2" t="s">
        <v>1855</v>
      </c>
      <c r="C530" s="2" t="s">
        <v>1856</v>
      </c>
      <c r="D530" s="2" t="s">
        <v>33</v>
      </c>
      <c r="E530" s="2" t="s">
        <v>34</v>
      </c>
      <c r="F530" s="3" t="s">
        <v>35</v>
      </c>
      <c r="G530" s="2"/>
      <c r="H530" s="2" t="s">
        <v>34</v>
      </c>
      <c r="I530" s="2" t="s">
        <v>36</v>
      </c>
      <c r="J530" s="2" t="s">
        <v>37</v>
      </c>
      <c r="K530" s="4" t="str">
        <f t="shared" si="49"/>
        <v>Abrir enlace</v>
      </c>
      <c r="L530" s="2" t="s">
        <v>1857</v>
      </c>
      <c r="M530" s="2"/>
      <c r="N530" s="2" t="s">
        <v>45</v>
      </c>
      <c r="O530" s="2"/>
      <c r="P530" s="4" t="str">
        <f t="shared" si="50"/>
        <v>Abrir enlace</v>
      </c>
      <c r="Q530" s="2"/>
      <c r="R530" s="2"/>
      <c r="S530" s="2"/>
      <c r="T530" s="2"/>
      <c r="U530" s="2"/>
      <c r="V530" s="2"/>
      <c r="W530" s="2"/>
      <c r="X530" s="2"/>
      <c r="Y530" s="2"/>
      <c r="Z530" s="2"/>
      <c r="AA530" s="2" t="s">
        <v>40</v>
      </c>
      <c r="AB530" s="2" t="s">
        <v>41</v>
      </c>
      <c r="AC530" s="2"/>
      <c r="AD530" s="2"/>
      <c r="AE530" s="2"/>
    </row>
    <row r="531" ht="15.75" customHeight="1">
      <c r="A531" s="2">
        <v>531.0</v>
      </c>
      <c r="B531" s="2" t="s">
        <v>1858</v>
      </c>
      <c r="C531" s="2" t="s">
        <v>1859</v>
      </c>
      <c r="D531" s="2" t="s">
        <v>33</v>
      </c>
      <c r="E531" s="2" t="s">
        <v>64</v>
      </c>
      <c r="F531" s="2" t="s">
        <v>35</v>
      </c>
      <c r="G531" s="2"/>
      <c r="H531" s="2" t="s">
        <v>64</v>
      </c>
      <c r="I531" s="2" t="s">
        <v>168</v>
      </c>
      <c r="J531" s="2" t="s">
        <v>1860</v>
      </c>
      <c r="K531" s="4" t="str">
        <f>HYPERLINK("https://ccfr.bnf.fr/portailccfr/ark:/16871/0013706012","Abrir enlace")</f>
        <v>Abrir enlace</v>
      </c>
      <c r="L531" s="2" t="s">
        <v>1861</v>
      </c>
      <c r="M531" s="2"/>
      <c r="N531" s="2" t="s">
        <v>91</v>
      </c>
      <c r="O531" s="2" t="s">
        <v>1862</v>
      </c>
      <c r="P531" s="4" t="str">
        <f>HYPERLINK("https://ccfr.bnf.fr/portailccfr/ark:/16871/0013706012","Abrir enlace")</f>
        <v>Abrir enlace</v>
      </c>
      <c r="Q531" s="2" t="s">
        <v>1863</v>
      </c>
      <c r="R531" s="2" t="s">
        <v>1864</v>
      </c>
      <c r="S531" s="2" t="s">
        <v>54</v>
      </c>
      <c r="T531" s="2" t="s">
        <v>1865</v>
      </c>
      <c r="U531" s="4" t="str">
        <f>HYPERLINK("https://archive.org/details/isbn_9782849020968","Abrir enlace")</f>
        <v>Abrir enlace</v>
      </c>
      <c r="V531" s="2" t="s">
        <v>1866</v>
      </c>
      <c r="W531" s="2" t="s">
        <v>1867</v>
      </c>
      <c r="X531" s="2" t="s">
        <v>54</v>
      </c>
      <c r="Y531" s="2" t="s">
        <v>1868</v>
      </c>
      <c r="Z531" s="4" t="str">
        <f>HYPERLINK("https://archive.org/details/MoreriGdDictHist05bnf.pdf","Abrir enlace")</f>
        <v>Abrir enlace</v>
      </c>
      <c r="AA531" s="2"/>
      <c r="AB531" s="2"/>
      <c r="AC531" s="2"/>
      <c r="AD531" s="2"/>
      <c r="AE531" s="2"/>
    </row>
    <row r="532" ht="15.75" customHeight="1">
      <c r="A532" s="2">
        <v>532.0</v>
      </c>
      <c r="B532" s="2" t="s">
        <v>1858</v>
      </c>
      <c r="C532" s="2" t="s">
        <v>1859</v>
      </c>
      <c r="D532" s="2" t="s">
        <v>33</v>
      </c>
      <c r="E532" s="2" t="s">
        <v>64</v>
      </c>
      <c r="F532" s="2" t="s">
        <v>35</v>
      </c>
      <c r="G532" s="2"/>
      <c r="H532" s="2" t="s">
        <v>64</v>
      </c>
      <c r="I532" s="2" t="s">
        <v>168</v>
      </c>
      <c r="J532" s="2" t="s">
        <v>1860</v>
      </c>
      <c r="K532" s="2" t="s">
        <v>757</v>
      </c>
      <c r="L532" s="2" t="s">
        <v>1861</v>
      </c>
      <c r="M532" s="2"/>
      <c r="N532" s="2" t="s">
        <v>91</v>
      </c>
      <c r="O532" s="2" t="s">
        <v>1862</v>
      </c>
      <c r="P532" s="2" t="s">
        <v>757</v>
      </c>
      <c r="Q532" s="2" t="s">
        <v>1863</v>
      </c>
      <c r="R532" s="2" t="s">
        <v>1864</v>
      </c>
      <c r="S532" s="2" t="s">
        <v>54</v>
      </c>
      <c r="T532" s="2" t="s">
        <v>1865</v>
      </c>
      <c r="U532" s="2" t="s">
        <v>757</v>
      </c>
      <c r="V532" s="2" t="s">
        <v>1866</v>
      </c>
      <c r="W532" s="2" t="s">
        <v>1867</v>
      </c>
      <c r="X532" s="2" t="s">
        <v>54</v>
      </c>
      <c r="Y532" s="2" t="s">
        <v>1868</v>
      </c>
      <c r="Z532" s="2" t="s">
        <v>757</v>
      </c>
      <c r="AA532" s="2"/>
      <c r="AB532" s="2"/>
      <c r="AC532" s="2"/>
      <c r="AD532" s="2"/>
      <c r="AE532" s="2"/>
    </row>
    <row r="533" ht="15.75" customHeight="1">
      <c r="A533" s="2">
        <v>533.0</v>
      </c>
      <c r="B533" s="2" t="s">
        <v>1858</v>
      </c>
      <c r="C533" s="2" t="s">
        <v>1859</v>
      </c>
      <c r="D533" s="2" t="s">
        <v>33</v>
      </c>
      <c r="E533" s="2" t="s">
        <v>64</v>
      </c>
      <c r="F533" s="2" t="s">
        <v>35</v>
      </c>
      <c r="G533" s="2"/>
      <c r="H533" s="2" t="s">
        <v>64</v>
      </c>
      <c r="I533" s="2" t="s">
        <v>168</v>
      </c>
      <c r="J533" s="2" t="s">
        <v>1860</v>
      </c>
      <c r="K533" s="2" t="s">
        <v>757</v>
      </c>
      <c r="L533" s="2" t="s">
        <v>1861</v>
      </c>
      <c r="M533" s="2"/>
      <c r="N533" s="2" t="s">
        <v>91</v>
      </c>
      <c r="O533" s="2" t="s">
        <v>1862</v>
      </c>
      <c r="P533" s="2" t="s">
        <v>757</v>
      </c>
      <c r="Q533" s="2" t="s">
        <v>1863</v>
      </c>
      <c r="R533" s="2" t="s">
        <v>1864</v>
      </c>
      <c r="S533" s="2" t="s">
        <v>54</v>
      </c>
      <c r="T533" s="2" t="s">
        <v>1865</v>
      </c>
      <c r="U533" s="2" t="s">
        <v>757</v>
      </c>
      <c r="V533" s="2" t="s">
        <v>1866</v>
      </c>
      <c r="W533" s="2" t="s">
        <v>1867</v>
      </c>
      <c r="X533" s="2" t="s">
        <v>54</v>
      </c>
      <c r="Y533" s="2" t="s">
        <v>1868</v>
      </c>
      <c r="Z533" s="2" t="s">
        <v>757</v>
      </c>
      <c r="AA533" s="2"/>
      <c r="AB533" s="2"/>
      <c r="AC533" s="2"/>
      <c r="AD533" s="2"/>
      <c r="AE533" s="2"/>
    </row>
    <row r="534" ht="15.75" customHeight="1">
      <c r="A534" s="2">
        <v>534.0</v>
      </c>
      <c r="B534" s="2" t="s">
        <v>1858</v>
      </c>
      <c r="C534" s="2" t="s">
        <v>1859</v>
      </c>
      <c r="D534" s="2" t="s">
        <v>33</v>
      </c>
      <c r="E534" s="2" t="s">
        <v>64</v>
      </c>
      <c r="F534" s="2" t="s">
        <v>35</v>
      </c>
      <c r="G534" s="2"/>
      <c r="H534" s="2" t="s">
        <v>64</v>
      </c>
      <c r="I534" s="2" t="s">
        <v>168</v>
      </c>
      <c r="J534" s="2" t="s">
        <v>1860</v>
      </c>
      <c r="K534" s="2" t="s">
        <v>757</v>
      </c>
      <c r="L534" s="2" t="s">
        <v>1861</v>
      </c>
      <c r="M534" s="2"/>
      <c r="N534" s="2" t="s">
        <v>91</v>
      </c>
      <c r="O534" s="2" t="s">
        <v>1862</v>
      </c>
      <c r="P534" s="2" t="s">
        <v>757</v>
      </c>
      <c r="Q534" s="2" t="s">
        <v>1863</v>
      </c>
      <c r="R534" s="2" t="s">
        <v>1864</v>
      </c>
      <c r="S534" s="2" t="s">
        <v>54</v>
      </c>
      <c r="T534" s="2" t="s">
        <v>1865</v>
      </c>
      <c r="U534" s="2" t="s">
        <v>757</v>
      </c>
      <c r="V534" s="2" t="s">
        <v>1866</v>
      </c>
      <c r="W534" s="2" t="s">
        <v>1867</v>
      </c>
      <c r="X534" s="2" t="s">
        <v>54</v>
      </c>
      <c r="Y534" s="2" t="s">
        <v>1868</v>
      </c>
      <c r="Z534" s="2" t="s">
        <v>757</v>
      </c>
      <c r="AA534" s="2"/>
      <c r="AB534" s="2"/>
      <c r="AC534" s="2"/>
      <c r="AD534" s="2"/>
      <c r="AE534" s="2"/>
    </row>
    <row r="535" ht="15.75" customHeight="1">
      <c r="A535" s="2">
        <v>535.0</v>
      </c>
      <c r="B535" s="2" t="s">
        <v>1858</v>
      </c>
      <c r="C535" s="2" t="s">
        <v>1859</v>
      </c>
      <c r="D535" s="2" t="s">
        <v>33</v>
      </c>
      <c r="E535" s="2" t="s">
        <v>64</v>
      </c>
      <c r="F535" s="2" t="s">
        <v>35</v>
      </c>
      <c r="G535" s="2"/>
      <c r="H535" s="2" t="s">
        <v>64</v>
      </c>
      <c r="I535" s="2" t="s">
        <v>168</v>
      </c>
      <c r="J535" s="2" t="s">
        <v>1860</v>
      </c>
      <c r="K535" s="2" t="s">
        <v>757</v>
      </c>
      <c r="L535" s="2" t="s">
        <v>1861</v>
      </c>
      <c r="M535" s="2"/>
      <c r="N535" s="2" t="s">
        <v>91</v>
      </c>
      <c r="O535" s="2" t="s">
        <v>1862</v>
      </c>
      <c r="P535" s="2" t="s">
        <v>757</v>
      </c>
      <c r="Q535" s="2" t="s">
        <v>1863</v>
      </c>
      <c r="R535" s="2" t="s">
        <v>1864</v>
      </c>
      <c r="S535" s="2" t="s">
        <v>54</v>
      </c>
      <c r="T535" s="2" t="s">
        <v>1865</v>
      </c>
      <c r="U535" s="2" t="s">
        <v>757</v>
      </c>
      <c r="V535" s="2" t="s">
        <v>1866</v>
      </c>
      <c r="W535" s="2" t="s">
        <v>1867</v>
      </c>
      <c r="X535" s="2" t="s">
        <v>54</v>
      </c>
      <c r="Y535" s="2" t="s">
        <v>1868</v>
      </c>
      <c r="Z535" s="2" t="s">
        <v>757</v>
      </c>
      <c r="AA535" s="2"/>
      <c r="AB535" s="2"/>
      <c r="AC535" s="2"/>
      <c r="AD535" s="2"/>
      <c r="AE535" s="2"/>
    </row>
    <row r="536" ht="15.75" customHeight="1">
      <c r="A536" s="2">
        <v>536.0</v>
      </c>
      <c r="B536" s="2" t="s">
        <v>1858</v>
      </c>
      <c r="C536" s="2" t="s">
        <v>1859</v>
      </c>
      <c r="D536" s="2" t="s">
        <v>33</v>
      </c>
      <c r="E536" s="2" t="s">
        <v>64</v>
      </c>
      <c r="F536" s="2" t="s">
        <v>35</v>
      </c>
      <c r="G536" s="2"/>
      <c r="H536" s="2" t="s">
        <v>64</v>
      </c>
      <c r="I536" s="2" t="s">
        <v>168</v>
      </c>
      <c r="J536" s="2" t="s">
        <v>1860</v>
      </c>
      <c r="K536" s="2" t="s">
        <v>757</v>
      </c>
      <c r="L536" s="2" t="s">
        <v>1861</v>
      </c>
      <c r="M536" s="2"/>
      <c r="N536" s="2" t="s">
        <v>91</v>
      </c>
      <c r="O536" s="2" t="s">
        <v>1862</v>
      </c>
      <c r="P536" s="2" t="s">
        <v>757</v>
      </c>
      <c r="Q536" s="2" t="s">
        <v>1863</v>
      </c>
      <c r="R536" s="2" t="s">
        <v>1864</v>
      </c>
      <c r="S536" s="2" t="s">
        <v>54</v>
      </c>
      <c r="T536" s="2" t="s">
        <v>1865</v>
      </c>
      <c r="U536" s="2" t="s">
        <v>757</v>
      </c>
      <c r="V536" s="2" t="s">
        <v>1866</v>
      </c>
      <c r="W536" s="2" t="s">
        <v>1867</v>
      </c>
      <c r="X536" s="2" t="s">
        <v>54</v>
      </c>
      <c r="Y536" s="2" t="s">
        <v>1868</v>
      </c>
      <c r="Z536" s="2" t="s">
        <v>757</v>
      </c>
      <c r="AA536" s="2"/>
      <c r="AB536" s="2"/>
      <c r="AC536" s="2"/>
      <c r="AD536" s="2"/>
      <c r="AE536" s="2"/>
    </row>
    <row r="537" ht="15.75" customHeight="1">
      <c r="A537" s="2">
        <v>537.0</v>
      </c>
      <c r="B537" s="2" t="s">
        <v>1858</v>
      </c>
      <c r="C537" s="2" t="s">
        <v>1859</v>
      </c>
      <c r="D537" s="2" t="s">
        <v>33</v>
      </c>
      <c r="E537" s="2" t="s">
        <v>64</v>
      </c>
      <c r="F537" s="2" t="s">
        <v>35</v>
      </c>
      <c r="G537" s="2"/>
      <c r="H537" s="2" t="s">
        <v>64</v>
      </c>
      <c r="I537" s="2" t="s">
        <v>168</v>
      </c>
      <c r="J537" s="2" t="s">
        <v>1860</v>
      </c>
      <c r="K537" s="2" t="s">
        <v>757</v>
      </c>
      <c r="L537" s="2" t="s">
        <v>1861</v>
      </c>
      <c r="M537" s="2"/>
      <c r="N537" s="2" t="s">
        <v>91</v>
      </c>
      <c r="O537" s="2" t="s">
        <v>1862</v>
      </c>
      <c r="P537" s="2" t="s">
        <v>757</v>
      </c>
      <c r="Q537" s="2" t="s">
        <v>1863</v>
      </c>
      <c r="R537" s="2" t="s">
        <v>1864</v>
      </c>
      <c r="S537" s="2" t="s">
        <v>54</v>
      </c>
      <c r="T537" s="2" t="s">
        <v>1865</v>
      </c>
      <c r="U537" s="2" t="s">
        <v>757</v>
      </c>
      <c r="V537" s="2" t="s">
        <v>1866</v>
      </c>
      <c r="W537" s="2" t="s">
        <v>1867</v>
      </c>
      <c r="X537" s="2" t="s">
        <v>54</v>
      </c>
      <c r="Y537" s="2" t="s">
        <v>1868</v>
      </c>
      <c r="Z537" s="2" t="s">
        <v>757</v>
      </c>
      <c r="AA537" s="2"/>
      <c r="AB537" s="2"/>
      <c r="AC537" s="2"/>
      <c r="AD537" s="2"/>
      <c r="AE537" s="2"/>
    </row>
    <row r="538" ht="15.75" customHeight="1">
      <c r="A538" s="2">
        <v>538.0</v>
      </c>
      <c r="B538" s="2" t="s">
        <v>1858</v>
      </c>
      <c r="C538" s="2" t="s">
        <v>1859</v>
      </c>
      <c r="D538" s="2" t="s">
        <v>33</v>
      </c>
      <c r="E538" s="2" t="s">
        <v>64</v>
      </c>
      <c r="F538" s="2" t="s">
        <v>35</v>
      </c>
      <c r="G538" s="2"/>
      <c r="H538" s="2" t="s">
        <v>64</v>
      </c>
      <c r="I538" s="2" t="s">
        <v>168</v>
      </c>
      <c r="J538" s="2" t="s">
        <v>1860</v>
      </c>
      <c r="K538" s="2" t="s">
        <v>757</v>
      </c>
      <c r="L538" s="2" t="s">
        <v>1861</v>
      </c>
      <c r="M538" s="2"/>
      <c r="N538" s="2" t="s">
        <v>91</v>
      </c>
      <c r="O538" s="2" t="s">
        <v>1862</v>
      </c>
      <c r="P538" s="2" t="s">
        <v>757</v>
      </c>
      <c r="Q538" s="2" t="s">
        <v>1863</v>
      </c>
      <c r="R538" s="2" t="s">
        <v>1864</v>
      </c>
      <c r="S538" s="2" t="s">
        <v>54</v>
      </c>
      <c r="T538" s="2" t="s">
        <v>1865</v>
      </c>
      <c r="U538" s="2" t="s">
        <v>757</v>
      </c>
      <c r="V538" s="2" t="s">
        <v>1866</v>
      </c>
      <c r="W538" s="2" t="s">
        <v>1867</v>
      </c>
      <c r="X538" s="2" t="s">
        <v>54</v>
      </c>
      <c r="Y538" s="2" t="s">
        <v>1868</v>
      </c>
      <c r="Z538" s="2" t="s">
        <v>757</v>
      </c>
      <c r="AA538" s="2"/>
      <c r="AB538" s="2"/>
      <c r="AC538" s="2"/>
      <c r="AD538" s="2"/>
      <c r="AE538" s="2"/>
    </row>
    <row r="539" ht="15.75" customHeight="1">
      <c r="A539" s="2">
        <v>539.0</v>
      </c>
      <c r="B539" s="2" t="s">
        <v>1858</v>
      </c>
      <c r="C539" s="2" t="s">
        <v>1859</v>
      </c>
      <c r="D539" s="2" t="s">
        <v>33</v>
      </c>
      <c r="E539" s="2" t="s">
        <v>64</v>
      </c>
      <c r="F539" s="2" t="s">
        <v>35</v>
      </c>
      <c r="G539" s="2"/>
      <c r="H539" s="2" t="s">
        <v>64</v>
      </c>
      <c r="I539" s="2" t="s">
        <v>168</v>
      </c>
      <c r="J539" s="2" t="s">
        <v>1860</v>
      </c>
      <c r="K539" s="2" t="s">
        <v>757</v>
      </c>
      <c r="L539" s="2" t="s">
        <v>1861</v>
      </c>
      <c r="M539" s="2"/>
      <c r="N539" s="2" t="s">
        <v>91</v>
      </c>
      <c r="O539" s="2" t="s">
        <v>1862</v>
      </c>
      <c r="P539" s="2" t="s">
        <v>757</v>
      </c>
      <c r="Q539" s="2" t="s">
        <v>1863</v>
      </c>
      <c r="R539" s="2" t="s">
        <v>1864</v>
      </c>
      <c r="S539" s="2" t="s">
        <v>54</v>
      </c>
      <c r="T539" s="2" t="s">
        <v>1865</v>
      </c>
      <c r="U539" s="2" t="s">
        <v>757</v>
      </c>
      <c r="V539" s="2" t="s">
        <v>1866</v>
      </c>
      <c r="W539" s="2" t="s">
        <v>1867</v>
      </c>
      <c r="X539" s="2" t="s">
        <v>54</v>
      </c>
      <c r="Y539" s="2" t="s">
        <v>1868</v>
      </c>
      <c r="Z539" s="2" t="s">
        <v>757</v>
      </c>
      <c r="AA539" s="2"/>
      <c r="AB539" s="2"/>
      <c r="AC539" s="2"/>
      <c r="AD539" s="2"/>
      <c r="AE539" s="2"/>
    </row>
    <row r="540" ht="15.75" customHeight="1">
      <c r="A540" s="2">
        <v>540.0</v>
      </c>
      <c r="B540" s="2" t="s">
        <v>1869</v>
      </c>
      <c r="C540" s="2" t="s">
        <v>1870</v>
      </c>
      <c r="D540" s="2" t="s">
        <v>49</v>
      </c>
      <c r="E540" s="2" t="s">
        <v>70</v>
      </c>
      <c r="F540" s="3" t="s">
        <v>35</v>
      </c>
      <c r="G540" s="2"/>
      <c r="H540" s="2" t="s">
        <v>70</v>
      </c>
      <c r="I540" s="2" t="s">
        <v>36</v>
      </c>
      <c r="J540" s="2" t="s">
        <v>37</v>
      </c>
      <c r="K540" s="4" t="str">
        <f t="shared" ref="K540:K544" si="51">HYPERLINK("https://openlibrary.org/works/OL44665419W","Abrir enlace")</f>
        <v>Abrir enlace</v>
      </c>
      <c r="L540" s="2" t="s">
        <v>1871</v>
      </c>
      <c r="M540" s="2"/>
      <c r="N540" s="2" t="s">
        <v>45</v>
      </c>
      <c r="O540" s="2"/>
      <c r="P540" s="4" t="str">
        <f t="shared" ref="P540:P544" si="52">HYPERLINK("https://openlibrary.org/works/OL44665419W","Abrir enlace")</f>
        <v>Abrir enlace</v>
      </c>
      <c r="Q540" s="2"/>
      <c r="R540" s="2"/>
      <c r="S540" s="2"/>
      <c r="T540" s="2"/>
      <c r="U540" s="2"/>
      <c r="V540" s="2"/>
      <c r="W540" s="2"/>
      <c r="X540" s="2"/>
      <c r="Y540" s="2"/>
      <c r="Z540" s="2"/>
      <c r="AA540" s="2" t="s">
        <v>51</v>
      </c>
      <c r="AB540" s="2" t="s">
        <v>72</v>
      </c>
      <c r="AC540" s="2"/>
      <c r="AD540" s="2"/>
      <c r="AE540" s="2"/>
    </row>
    <row r="541" ht="15.75" customHeight="1">
      <c r="A541" s="2">
        <v>541.0</v>
      </c>
      <c r="B541" s="2" t="s">
        <v>1869</v>
      </c>
      <c r="C541" s="2" t="s">
        <v>1870</v>
      </c>
      <c r="D541" s="2" t="s">
        <v>49</v>
      </c>
      <c r="E541" s="2" t="s">
        <v>70</v>
      </c>
      <c r="F541" s="3" t="s">
        <v>35</v>
      </c>
      <c r="G541" s="2"/>
      <c r="H541" s="2" t="s">
        <v>70</v>
      </c>
      <c r="I541" s="2" t="s">
        <v>36</v>
      </c>
      <c r="J541" s="2" t="s">
        <v>37</v>
      </c>
      <c r="K541" s="4" t="str">
        <f t="shared" si="51"/>
        <v>Abrir enlace</v>
      </c>
      <c r="L541" s="2" t="s">
        <v>1871</v>
      </c>
      <c r="M541" s="2"/>
      <c r="N541" s="2" t="s">
        <v>45</v>
      </c>
      <c r="O541" s="2"/>
      <c r="P541" s="4" t="str">
        <f t="shared" si="52"/>
        <v>Abrir enlace</v>
      </c>
      <c r="Q541" s="2"/>
      <c r="R541" s="2"/>
      <c r="S541" s="2"/>
      <c r="T541" s="2"/>
      <c r="U541" s="2"/>
      <c r="V541" s="2"/>
      <c r="W541" s="2"/>
      <c r="X541" s="2"/>
      <c r="Y541" s="2"/>
      <c r="Z541" s="2"/>
      <c r="AA541" s="2" t="s">
        <v>51</v>
      </c>
      <c r="AB541" s="2" t="s">
        <v>72</v>
      </c>
      <c r="AC541" s="2"/>
      <c r="AD541" s="2"/>
      <c r="AE541" s="2"/>
    </row>
    <row r="542" ht="15.75" customHeight="1">
      <c r="A542" s="2">
        <v>542.0</v>
      </c>
      <c r="B542" s="2" t="s">
        <v>1869</v>
      </c>
      <c r="C542" s="2" t="s">
        <v>1870</v>
      </c>
      <c r="D542" s="2" t="s">
        <v>49</v>
      </c>
      <c r="E542" s="2" t="s">
        <v>70</v>
      </c>
      <c r="F542" s="3" t="s">
        <v>35</v>
      </c>
      <c r="G542" s="2"/>
      <c r="H542" s="2" t="s">
        <v>70</v>
      </c>
      <c r="I542" s="2" t="s">
        <v>36</v>
      </c>
      <c r="J542" s="2" t="s">
        <v>37</v>
      </c>
      <c r="K542" s="4" t="str">
        <f t="shared" si="51"/>
        <v>Abrir enlace</v>
      </c>
      <c r="L542" s="2" t="s">
        <v>1871</v>
      </c>
      <c r="M542" s="2"/>
      <c r="N542" s="2" t="s">
        <v>45</v>
      </c>
      <c r="O542" s="2"/>
      <c r="P542" s="4" t="str">
        <f t="shared" si="52"/>
        <v>Abrir enlace</v>
      </c>
      <c r="Q542" s="2"/>
      <c r="R542" s="2"/>
      <c r="S542" s="2"/>
      <c r="T542" s="2"/>
      <c r="U542" s="2"/>
      <c r="V542" s="2"/>
      <c r="W542" s="2"/>
      <c r="X542" s="2"/>
      <c r="Y542" s="2"/>
      <c r="Z542" s="2"/>
      <c r="AA542" s="2" t="s">
        <v>51</v>
      </c>
      <c r="AB542" s="2" t="s">
        <v>72</v>
      </c>
      <c r="AC542" s="2"/>
      <c r="AD542" s="2"/>
      <c r="AE542" s="2"/>
    </row>
    <row r="543" ht="15.75" customHeight="1">
      <c r="A543" s="2">
        <v>543.0</v>
      </c>
      <c r="B543" s="2" t="s">
        <v>1869</v>
      </c>
      <c r="C543" s="2" t="s">
        <v>1870</v>
      </c>
      <c r="D543" s="2" t="s">
        <v>49</v>
      </c>
      <c r="E543" s="2" t="s">
        <v>70</v>
      </c>
      <c r="F543" s="3" t="s">
        <v>35</v>
      </c>
      <c r="G543" s="2"/>
      <c r="H543" s="2" t="s">
        <v>70</v>
      </c>
      <c r="I543" s="2" t="s">
        <v>36</v>
      </c>
      <c r="J543" s="2" t="s">
        <v>37</v>
      </c>
      <c r="K543" s="4" t="str">
        <f t="shared" si="51"/>
        <v>Abrir enlace</v>
      </c>
      <c r="L543" s="2" t="s">
        <v>1871</v>
      </c>
      <c r="M543" s="2"/>
      <c r="N543" s="2" t="s">
        <v>45</v>
      </c>
      <c r="O543" s="2"/>
      <c r="P543" s="4" t="str">
        <f t="shared" si="52"/>
        <v>Abrir enlace</v>
      </c>
      <c r="Q543" s="2"/>
      <c r="R543" s="2"/>
      <c r="S543" s="2"/>
      <c r="T543" s="2"/>
      <c r="U543" s="2"/>
      <c r="V543" s="2"/>
      <c r="W543" s="2"/>
      <c r="X543" s="2"/>
      <c r="Y543" s="2"/>
      <c r="Z543" s="2"/>
      <c r="AA543" s="2" t="s">
        <v>51</v>
      </c>
      <c r="AB543" s="2" t="s">
        <v>72</v>
      </c>
      <c r="AC543" s="2"/>
      <c r="AD543" s="2"/>
      <c r="AE543" s="2"/>
    </row>
    <row r="544" ht="15.75" customHeight="1">
      <c r="A544" s="2">
        <v>544.0</v>
      </c>
      <c r="B544" s="2" t="s">
        <v>1869</v>
      </c>
      <c r="C544" s="2" t="s">
        <v>1870</v>
      </c>
      <c r="D544" s="2" t="s">
        <v>49</v>
      </c>
      <c r="E544" s="2" t="s">
        <v>70</v>
      </c>
      <c r="F544" s="3" t="s">
        <v>35</v>
      </c>
      <c r="G544" s="2"/>
      <c r="H544" s="2" t="s">
        <v>70</v>
      </c>
      <c r="I544" s="2" t="s">
        <v>36</v>
      </c>
      <c r="J544" s="2" t="s">
        <v>37</v>
      </c>
      <c r="K544" s="4" t="str">
        <f t="shared" si="51"/>
        <v>Abrir enlace</v>
      </c>
      <c r="L544" s="2" t="s">
        <v>1871</v>
      </c>
      <c r="M544" s="2"/>
      <c r="N544" s="2" t="s">
        <v>45</v>
      </c>
      <c r="O544" s="2"/>
      <c r="P544" s="4" t="str">
        <f t="shared" si="52"/>
        <v>Abrir enlace</v>
      </c>
      <c r="Q544" s="2"/>
      <c r="R544" s="2"/>
      <c r="S544" s="2"/>
      <c r="T544" s="2"/>
      <c r="U544" s="2"/>
      <c r="V544" s="2"/>
      <c r="W544" s="2"/>
      <c r="X544" s="2"/>
      <c r="Y544" s="2"/>
      <c r="Z544" s="2"/>
      <c r="AA544" s="2" t="s">
        <v>51</v>
      </c>
      <c r="AB544" s="2" t="s">
        <v>72</v>
      </c>
      <c r="AC544" s="2"/>
      <c r="AD544" s="2"/>
      <c r="AE544" s="2"/>
    </row>
    <row r="545" ht="15.75" customHeight="1">
      <c r="A545" s="2">
        <v>545.0</v>
      </c>
      <c r="B545" s="2" t="s">
        <v>1872</v>
      </c>
      <c r="C545" s="2" t="s">
        <v>1873</v>
      </c>
      <c r="D545" s="2" t="s">
        <v>33</v>
      </c>
      <c r="E545" s="2" t="s">
        <v>70</v>
      </c>
      <c r="F545" s="2" t="s">
        <v>35</v>
      </c>
      <c r="G545" s="2"/>
      <c r="H545" s="2" t="s">
        <v>70</v>
      </c>
      <c r="I545" s="2" t="s">
        <v>168</v>
      </c>
      <c r="J545" s="2" t="s">
        <v>1874</v>
      </c>
      <c r="K545" s="4" t="str">
        <f>HYPERLINK("https://www.buscalibre.com/int-es/libro-biblioteca-completa-de-educacion-o-instrucciones-para-las-senoras-jovenes-en-la-edad-de-entrar-ya-en-la-sociedad-y-poderse-casar-tomo-sexto/"&amp;"36328096/p/36328096","Abrir enlace")</f>
        <v>Abrir enlace</v>
      </c>
      <c r="L545" s="2" t="s">
        <v>1875</v>
      </c>
      <c r="M545" s="2"/>
      <c r="N545" s="2" t="s">
        <v>91</v>
      </c>
      <c r="O545" s="2" t="s">
        <v>1876</v>
      </c>
      <c r="P545" s="4" t="str">
        <f>HYPERLINK("https://www.buscalibre.com/int-es/libro-biblioteca-completa-de-educacion-o-instrucciones-para-las-senoras-jovenes-en-la-edad-de-entrar-ya-en-la-sociedad-y-poderse-casar-tomo-sexto/"&amp;"36328096/p/36328096","Abrir enlace")</f>
        <v>Abrir enlace</v>
      </c>
      <c r="Q545" s="2" t="s">
        <v>1877</v>
      </c>
      <c r="R545" s="2"/>
      <c r="S545" s="2" t="s">
        <v>91</v>
      </c>
      <c r="T545" s="2" t="s">
        <v>1878</v>
      </c>
      <c r="U545" s="4" t="str">
        <f>HYPERLINK("https://kohaopac.franzmayer.org.mx/bib/8586","Abrir enlace")</f>
        <v>Abrir enlace</v>
      </c>
      <c r="V545" s="2" t="s">
        <v>1879</v>
      </c>
      <c r="W545" s="2"/>
      <c r="X545" s="2" t="s">
        <v>91</v>
      </c>
      <c r="Y545" s="2" t="s">
        <v>1880</v>
      </c>
      <c r="Z545" s="4" t="str">
        <f>HYPERLINK("https://www.todocoleccion.net/libros/biblioteca-completa-educacion-leprince-beaumont-jeanne-marie~x682021055","Abrir enlace")</f>
        <v>Abrir enlace</v>
      </c>
      <c r="AA545" s="2"/>
      <c r="AB545" s="2"/>
      <c r="AC545" s="2"/>
      <c r="AD545" s="2"/>
      <c r="AE545" s="2"/>
    </row>
    <row r="546" ht="15.75" customHeight="1">
      <c r="A546" s="2">
        <v>546.0</v>
      </c>
      <c r="B546" s="2" t="s">
        <v>1872</v>
      </c>
      <c r="C546" s="2" t="s">
        <v>1873</v>
      </c>
      <c r="D546" s="2" t="s">
        <v>33</v>
      </c>
      <c r="E546" s="2" t="s">
        <v>70</v>
      </c>
      <c r="F546" s="2" t="s">
        <v>35</v>
      </c>
      <c r="G546" s="2"/>
      <c r="H546" s="2" t="s">
        <v>70</v>
      </c>
      <c r="I546" s="2" t="s">
        <v>168</v>
      </c>
      <c r="J546" s="2" t="s">
        <v>1874</v>
      </c>
      <c r="K546" s="2" t="s">
        <v>757</v>
      </c>
      <c r="L546" s="2" t="s">
        <v>1875</v>
      </c>
      <c r="M546" s="2"/>
      <c r="N546" s="2" t="s">
        <v>91</v>
      </c>
      <c r="O546" s="2" t="s">
        <v>1876</v>
      </c>
      <c r="P546" s="2" t="s">
        <v>757</v>
      </c>
      <c r="Q546" s="2" t="s">
        <v>1877</v>
      </c>
      <c r="R546" s="2"/>
      <c r="S546" s="2" t="s">
        <v>91</v>
      </c>
      <c r="T546" s="2" t="s">
        <v>1878</v>
      </c>
      <c r="U546" s="2" t="s">
        <v>757</v>
      </c>
      <c r="V546" s="2" t="s">
        <v>1879</v>
      </c>
      <c r="W546" s="2"/>
      <c r="X546" s="2" t="s">
        <v>91</v>
      </c>
      <c r="Y546" s="2" t="s">
        <v>1880</v>
      </c>
      <c r="Z546" s="2" t="s">
        <v>757</v>
      </c>
      <c r="AA546" s="2"/>
      <c r="AB546" s="2"/>
      <c r="AC546" s="2"/>
      <c r="AD546" s="2"/>
      <c r="AE546" s="2"/>
    </row>
    <row r="547" ht="15.75" customHeight="1">
      <c r="A547" s="2">
        <v>547.0</v>
      </c>
      <c r="B547" s="2" t="s">
        <v>1872</v>
      </c>
      <c r="C547" s="2" t="s">
        <v>1873</v>
      </c>
      <c r="D547" s="2" t="s">
        <v>33</v>
      </c>
      <c r="E547" s="2" t="s">
        <v>70</v>
      </c>
      <c r="F547" s="2" t="s">
        <v>35</v>
      </c>
      <c r="G547" s="2"/>
      <c r="H547" s="2" t="s">
        <v>70</v>
      </c>
      <c r="I547" s="2" t="s">
        <v>168</v>
      </c>
      <c r="J547" s="2" t="s">
        <v>1874</v>
      </c>
      <c r="K547" s="2" t="s">
        <v>757</v>
      </c>
      <c r="L547" s="2" t="s">
        <v>1875</v>
      </c>
      <c r="M547" s="2"/>
      <c r="N547" s="2" t="s">
        <v>91</v>
      </c>
      <c r="O547" s="2" t="s">
        <v>1876</v>
      </c>
      <c r="P547" s="2" t="s">
        <v>757</v>
      </c>
      <c r="Q547" s="2" t="s">
        <v>1877</v>
      </c>
      <c r="R547" s="2"/>
      <c r="S547" s="2" t="s">
        <v>91</v>
      </c>
      <c r="T547" s="2" t="s">
        <v>1878</v>
      </c>
      <c r="U547" s="2" t="s">
        <v>757</v>
      </c>
      <c r="V547" s="2" t="s">
        <v>1879</v>
      </c>
      <c r="W547" s="2"/>
      <c r="X547" s="2" t="s">
        <v>91</v>
      </c>
      <c r="Y547" s="2" t="s">
        <v>1880</v>
      </c>
      <c r="Z547" s="2" t="s">
        <v>757</v>
      </c>
      <c r="AA547" s="2"/>
      <c r="AB547" s="2"/>
      <c r="AC547" s="2"/>
      <c r="AD547" s="2"/>
      <c r="AE547" s="2"/>
    </row>
    <row r="548" ht="15.75" customHeight="1">
      <c r="A548" s="2">
        <v>548.0</v>
      </c>
      <c r="B548" s="2" t="s">
        <v>1872</v>
      </c>
      <c r="C548" s="2" t="s">
        <v>1873</v>
      </c>
      <c r="D548" s="2" t="s">
        <v>33</v>
      </c>
      <c r="E548" s="2" t="s">
        <v>70</v>
      </c>
      <c r="F548" s="2" t="s">
        <v>35</v>
      </c>
      <c r="G548" s="2"/>
      <c r="H548" s="2" t="s">
        <v>70</v>
      </c>
      <c r="I548" s="2" t="s">
        <v>168</v>
      </c>
      <c r="J548" s="2" t="s">
        <v>1874</v>
      </c>
      <c r="K548" s="2" t="s">
        <v>757</v>
      </c>
      <c r="L548" s="2" t="s">
        <v>1875</v>
      </c>
      <c r="M548" s="2"/>
      <c r="N548" s="2" t="s">
        <v>91</v>
      </c>
      <c r="O548" s="2" t="s">
        <v>1876</v>
      </c>
      <c r="P548" s="2" t="s">
        <v>757</v>
      </c>
      <c r="Q548" s="2" t="s">
        <v>1877</v>
      </c>
      <c r="R548" s="2"/>
      <c r="S548" s="2" t="s">
        <v>91</v>
      </c>
      <c r="T548" s="2" t="s">
        <v>1878</v>
      </c>
      <c r="U548" s="2" t="s">
        <v>757</v>
      </c>
      <c r="V548" s="2" t="s">
        <v>1879</v>
      </c>
      <c r="W548" s="2"/>
      <c r="X548" s="2" t="s">
        <v>91</v>
      </c>
      <c r="Y548" s="2" t="s">
        <v>1880</v>
      </c>
      <c r="Z548" s="2" t="s">
        <v>757</v>
      </c>
      <c r="AA548" s="2"/>
      <c r="AB548" s="2"/>
      <c r="AC548" s="2"/>
      <c r="AD548" s="2"/>
      <c r="AE548" s="2"/>
    </row>
    <row r="549" ht="15.75" customHeight="1">
      <c r="A549" s="2">
        <v>549.0</v>
      </c>
      <c r="B549" s="2" t="s">
        <v>1881</v>
      </c>
      <c r="C549" s="2" t="s">
        <v>1882</v>
      </c>
      <c r="D549" s="2" t="s">
        <v>33</v>
      </c>
      <c r="E549" s="2" t="s">
        <v>34</v>
      </c>
      <c r="F549" s="3" t="s">
        <v>35</v>
      </c>
      <c r="G549" s="2"/>
      <c r="H549" s="2" t="s">
        <v>34</v>
      </c>
      <c r="I549" s="2" t="s">
        <v>36</v>
      </c>
      <c r="J549" s="2" t="s">
        <v>37</v>
      </c>
      <c r="K549" s="4" t="str">
        <f t="shared" ref="K549:K556" si="53">HYPERLINK("https://archive.org/details/A055318041","Abrir enlace")</f>
        <v>Abrir enlace</v>
      </c>
      <c r="L549" s="2" t="s">
        <v>1883</v>
      </c>
      <c r="M549" s="2"/>
      <c r="N549" s="2" t="s">
        <v>54</v>
      </c>
      <c r="O549" s="2"/>
      <c r="P549" s="4" t="str">
        <f t="shared" ref="P549:P556" si="54">HYPERLINK("https://archive.org/details/A055318041","Abrir enlace")</f>
        <v>Abrir enlace</v>
      </c>
      <c r="Q549" s="2"/>
      <c r="R549" s="2"/>
      <c r="S549" s="2"/>
      <c r="T549" s="2"/>
      <c r="U549" s="2"/>
      <c r="V549" s="2"/>
      <c r="W549" s="2"/>
      <c r="X549" s="2"/>
      <c r="Y549" s="2"/>
      <c r="Z549" s="2"/>
      <c r="AA549" s="2" t="s">
        <v>51</v>
      </c>
      <c r="AB549" s="2" t="s">
        <v>41</v>
      </c>
      <c r="AC549" s="2"/>
      <c r="AD549" s="2"/>
      <c r="AE549" s="2"/>
    </row>
    <row r="550" ht="15.75" customHeight="1">
      <c r="A550" s="2">
        <v>550.0</v>
      </c>
      <c r="B550" s="2" t="s">
        <v>1881</v>
      </c>
      <c r="C550" s="2" t="s">
        <v>1882</v>
      </c>
      <c r="D550" s="2" t="s">
        <v>33</v>
      </c>
      <c r="E550" s="2" t="s">
        <v>34</v>
      </c>
      <c r="F550" s="3" t="s">
        <v>35</v>
      </c>
      <c r="G550" s="2"/>
      <c r="H550" s="2" t="s">
        <v>34</v>
      </c>
      <c r="I550" s="2" t="s">
        <v>36</v>
      </c>
      <c r="J550" s="2" t="s">
        <v>37</v>
      </c>
      <c r="K550" s="4" t="str">
        <f t="shared" si="53"/>
        <v>Abrir enlace</v>
      </c>
      <c r="L550" s="2" t="s">
        <v>1883</v>
      </c>
      <c r="M550" s="2"/>
      <c r="N550" s="2" t="s">
        <v>54</v>
      </c>
      <c r="O550" s="2"/>
      <c r="P550" s="4" t="str">
        <f t="shared" si="54"/>
        <v>Abrir enlace</v>
      </c>
      <c r="Q550" s="2"/>
      <c r="R550" s="2"/>
      <c r="S550" s="2"/>
      <c r="T550" s="2"/>
      <c r="U550" s="2"/>
      <c r="V550" s="2"/>
      <c r="W550" s="2"/>
      <c r="X550" s="2"/>
      <c r="Y550" s="2"/>
      <c r="Z550" s="2"/>
      <c r="AA550" s="2" t="s">
        <v>51</v>
      </c>
      <c r="AB550" s="2" t="s">
        <v>41</v>
      </c>
      <c r="AC550" s="2"/>
      <c r="AD550" s="2"/>
      <c r="AE550" s="2"/>
    </row>
    <row r="551" ht="15.75" customHeight="1">
      <c r="A551" s="2">
        <v>551.0</v>
      </c>
      <c r="B551" s="2" t="s">
        <v>1881</v>
      </c>
      <c r="C551" s="2" t="s">
        <v>1882</v>
      </c>
      <c r="D551" s="2" t="s">
        <v>33</v>
      </c>
      <c r="E551" s="2" t="s">
        <v>34</v>
      </c>
      <c r="F551" s="3" t="s">
        <v>35</v>
      </c>
      <c r="G551" s="2"/>
      <c r="H551" s="2" t="s">
        <v>34</v>
      </c>
      <c r="I551" s="2" t="s">
        <v>36</v>
      </c>
      <c r="J551" s="2" t="s">
        <v>37</v>
      </c>
      <c r="K551" s="4" t="str">
        <f t="shared" si="53"/>
        <v>Abrir enlace</v>
      </c>
      <c r="L551" s="2" t="s">
        <v>1883</v>
      </c>
      <c r="M551" s="2"/>
      <c r="N551" s="2" t="s">
        <v>54</v>
      </c>
      <c r="O551" s="2"/>
      <c r="P551" s="4" t="str">
        <f t="shared" si="54"/>
        <v>Abrir enlace</v>
      </c>
      <c r="Q551" s="2"/>
      <c r="R551" s="2"/>
      <c r="S551" s="2"/>
      <c r="T551" s="2"/>
      <c r="U551" s="2"/>
      <c r="V551" s="2"/>
      <c r="W551" s="2"/>
      <c r="X551" s="2"/>
      <c r="Y551" s="2"/>
      <c r="Z551" s="2"/>
      <c r="AA551" s="2" t="s">
        <v>51</v>
      </c>
      <c r="AB551" s="2" t="s">
        <v>41</v>
      </c>
      <c r="AC551" s="2"/>
      <c r="AD551" s="2"/>
      <c r="AE551" s="2"/>
    </row>
    <row r="552" ht="15.75" customHeight="1">
      <c r="A552" s="2">
        <v>552.0</v>
      </c>
      <c r="B552" s="2" t="s">
        <v>1881</v>
      </c>
      <c r="C552" s="2" t="s">
        <v>1882</v>
      </c>
      <c r="D552" s="2" t="s">
        <v>33</v>
      </c>
      <c r="E552" s="2" t="s">
        <v>34</v>
      </c>
      <c r="F552" s="3" t="s">
        <v>35</v>
      </c>
      <c r="G552" s="2"/>
      <c r="H552" s="2" t="s">
        <v>34</v>
      </c>
      <c r="I552" s="2" t="s">
        <v>36</v>
      </c>
      <c r="J552" s="2" t="s">
        <v>37</v>
      </c>
      <c r="K552" s="4" t="str">
        <f t="shared" si="53"/>
        <v>Abrir enlace</v>
      </c>
      <c r="L552" s="2" t="s">
        <v>1883</v>
      </c>
      <c r="M552" s="2"/>
      <c r="N552" s="2" t="s">
        <v>54</v>
      </c>
      <c r="O552" s="2"/>
      <c r="P552" s="4" t="str">
        <f t="shared" si="54"/>
        <v>Abrir enlace</v>
      </c>
      <c r="Q552" s="2"/>
      <c r="R552" s="2"/>
      <c r="S552" s="2"/>
      <c r="T552" s="2"/>
      <c r="U552" s="2"/>
      <c r="V552" s="2"/>
      <c r="W552" s="2"/>
      <c r="X552" s="2"/>
      <c r="Y552" s="2"/>
      <c r="Z552" s="2"/>
      <c r="AA552" s="2" t="s">
        <v>51</v>
      </c>
      <c r="AB552" s="2" t="s">
        <v>41</v>
      </c>
      <c r="AC552" s="2"/>
      <c r="AD552" s="2"/>
      <c r="AE552" s="2"/>
    </row>
    <row r="553" ht="15.75" customHeight="1">
      <c r="A553" s="2">
        <v>553.0</v>
      </c>
      <c r="B553" s="2" t="s">
        <v>1881</v>
      </c>
      <c r="C553" s="2" t="s">
        <v>1882</v>
      </c>
      <c r="D553" s="2" t="s">
        <v>33</v>
      </c>
      <c r="E553" s="2" t="s">
        <v>34</v>
      </c>
      <c r="F553" s="3" t="s">
        <v>35</v>
      </c>
      <c r="G553" s="2"/>
      <c r="H553" s="2" t="s">
        <v>34</v>
      </c>
      <c r="I553" s="2" t="s">
        <v>36</v>
      </c>
      <c r="J553" s="2" t="s">
        <v>37</v>
      </c>
      <c r="K553" s="4" t="str">
        <f t="shared" si="53"/>
        <v>Abrir enlace</v>
      </c>
      <c r="L553" s="2" t="s">
        <v>1883</v>
      </c>
      <c r="M553" s="2"/>
      <c r="N553" s="2" t="s">
        <v>54</v>
      </c>
      <c r="O553" s="2"/>
      <c r="P553" s="4" t="str">
        <f t="shared" si="54"/>
        <v>Abrir enlace</v>
      </c>
      <c r="Q553" s="2"/>
      <c r="R553" s="2"/>
      <c r="S553" s="2"/>
      <c r="T553" s="2"/>
      <c r="U553" s="2"/>
      <c r="V553" s="2"/>
      <c r="W553" s="2"/>
      <c r="X553" s="2"/>
      <c r="Y553" s="2"/>
      <c r="Z553" s="2"/>
      <c r="AA553" s="2" t="s">
        <v>51</v>
      </c>
      <c r="AB553" s="2" t="s">
        <v>41</v>
      </c>
      <c r="AC553" s="2"/>
      <c r="AD553" s="2"/>
      <c r="AE553" s="2"/>
    </row>
    <row r="554" ht="15.75" customHeight="1">
      <c r="A554" s="2">
        <v>554.0</v>
      </c>
      <c r="B554" s="2" t="s">
        <v>1881</v>
      </c>
      <c r="C554" s="2" t="s">
        <v>1882</v>
      </c>
      <c r="D554" s="2" t="s">
        <v>33</v>
      </c>
      <c r="E554" s="2" t="s">
        <v>34</v>
      </c>
      <c r="F554" s="3" t="s">
        <v>35</v>
      </c>
      <c r="G554" s="2"/>
      <c r="H554" s="2" t="s">
        <v>34</v>
      </c>
      <c r="I554" s="2" t="s">
        <v>36</v>
      </c>
      <c r="J554" s="2" t="s">
        <v>37</v>
      </c>
      <c r="K554" s="4" t="str">
        <f t="shared" si="53"/>
        <v>Abrir enlace</v>
      </c>
      <c r="L554" s="2" t="s">
        <v>1883</v>
      </c>
      <c r="M554" s="2"/>
      <c r="N554" s="2" t="s">
        <v>54</v>
      </c>
      <c r="O554" s="2"/>
      <c r="P554" s="4" t="str">
        <f t="shared" si="54"/>
        <v>Abrir enlace</v>
      </c>
      <c r="Q554" s="2"/>
      <c r="R554" s="2"/>
      <c r="S554" s="2"/>
      <c r="T554" s="2"/>
      <c r="U554" s="2"/>
      <c r="V554" s="2"/>
      <c r="W554" s="2"/>
      <c r="X554" s="2"/>
      <c r="Y554" s="2"/>
      <c r="Z554" s="2"/>
      <c r="AA554" s="2" t="s">
        <v>51</v>
      </c>
      <c r="AB554" s="2" t="s">
        <v>41</v>
      </c>
      <c r="AC554" s="2"/>
      <c r="AD554" s="2"/>
      <c r="AE554" s="2"/>
    </row>
    <row r="555" ht="15.75" customHeight="1">
      <c r="A555" s="2">
        <v>555.0</v>
      </c>
      <c r="B555" s="2" t="s">
        <v>1881</v>
      </c>
      <c r="C555" s="2" t="s">
        <v>1882</v>
      </c>
      <c r="D555" s="2" t="s">
        <v>33</v>
      </c>
      <c r="E555" s="2" t="s">
        <v>34</v>
      </c>
      <c r="F555" s="3" t="s">
        <v>35</v>
      </c>
      <c r="G555" s="2"/>
      <c r="H555" s="2" t="s">
        <v>34</v>
      </c>
      <c r="I555" s="2" t="s">
        <v>36</v>
      </c>
      <c r="J555" s="2" t="s">
        <v>37</v>
      </c>
      <c r="K555" s="4" t="str">
        <f t="shared" si="53"/>
        <v>Abrir enlace</v>
      </c>
      <c r="L555" s="2" t="s">
        <v>1883</v>
      </c>
      <c r="M555" s="2"/>
      <c r="N555" s="2" t="s">
        <v>54</v>
      </c>
      <c r="O555" s="2"/>
      <c r="P555" s="4" t="str">
        <f t="shared" si="54"/>
        <v>Abrir enlace</v>
      </c>
      <c r="Q555" s="2"/>
      <c r="R555" s="2"/>
      <c r="S555" s="2"/>
      <c r="T555" s="2"/>
      <c r="U555" s="2"/>
      <c r="V555" s="2"/>
      <c r="W555" s="2"/>
      <c r="X555" s="2"/>
      <c r="Y555" s="2"/>
      <c r="Z555" s="2"/>
      <c r="AA555" s="2" t="s">
        <v>51</v>
      </c>
      <c r="AB555" s="2" t="s">
        <v>41</v>
      </c>
      <c r="AC555" s="2"/>
      <c r="AD555" s="2"/>
      <c r="AE555" s="2"/>
    </row>
    <row r="556" ht="15.75" customHeight="1">
      <c r="A556" s="2">
        <v>556.0</v>
      </c>
      <c r="B556" s="2" t="s">
        <v>1881</v>
      </c>
      <c r="C556" s="2" t="s">
        <v>1882</v>
      </c>
      <c r="D556" s="2" t="s">
        <v>33</v>
      </c>
      <c r="E556" s="2" t="s">
        <v>34</v>
      </c>
      <c r="F556" s="3" t="s">
        <v>35</v>
      </c>
      <c r="G556" s="2"/>
      <c r="H556" s="2" t="s">
        <v>34</v>
      </c>
      <c r="I556" s="2" t="s">
        <v>36</v>
      </c>
      <c r="J556" s="2" t="s">
        <v>37</v>
      </c>
      <c r="K556" s="4" t="str">
        <f t="shared" si="53"/>
        <v>Abrir enlace</v>
      </c>
      <c r="L556" s="2" t="s">
        <v>1883</v>
      </c>
      <c r="M556" s="2"/>
      <c r="N556" s="2" t="s">
        <v>54</v>
      </c>
      <c r="O556" s="2"/>
      <c r="P556" s="4" t="str">
        <f t="shared" si="54"/>
        <v>Abrir enlace</v>
      </c>
      <c r="Q556" s="2"/>
      <c r="R556" s="2"/>
      <c r="S556" s="2"/>
      <c r="T556" s="2"/>
      <c r="U556" s="2"/>
      <c r="V556" s="2"/>
      <c r="W556" s="2"/>
      <c r="X556" s="2"/>
      <c r="Y556" s="2"/>
      <c r="Z556" s="2"/>
      <c r="AA556" s="2" t="s">
        <v>51</v>
      </c>
      <c r="AB556" s="2" t="s">
        <v>41</v>
      </c>
      <c r="AC556" s="2"/>
      <c r="AD556" s="2"/>
      <c r="AE556" s="2"/>
    </row>
    <row r="557" ht="15.75" customHeight="1">
      <c r="A557" s="2">
        <v>557.0</v>
      </c>
      <c r="B557" s="2" t="s">
        <v>1884</v>
      </c>
      <c r="C557" s="2" t="s">
        <v>1885</v>
      </c>
      <c r="D557" s="2" t="s">
        <v>33</v>
      </c>
      <c r="E557" s="2" t="s">
        <v>34</v>
      </c>
      <c r="F557" s="3" t="s">
        <v>35</v>
      </c>
      <c r="G557" s="2"/>
      <c r="H557" s="2" t="s">
        <v>34</v>
      </c>
      <c r="I557" s="2" t="s">
        <v>168</v>
      </c>
      <c r="J557" s="2" t="s">
        <v>1886</v>
      </c>
      <c r="K557" s="4" t="str">
        <f t="shared" ref="K557:K560" si="55">HYPERLINK("https://archive.org/details/oscotianliterary22stmauoft","Abrir enlace")</f>
        <v>Abrir enlace</v>
      </c>
      <c r="L557" s="2" t="s">
        <v>214</v>
      </c>
      <c r="M557" s="2"/>
      <c r="N557" s="2" t="s">
        <v>54</v>
      </c>
      <c r="O557" s="2"/>
      <c r="P557" s="4" t="str">
        <f t="shared" ref="P557:P560" si="56">HYPERLINK("https://archive.org/details/oscotianliterary22stmauoft","Abrir enlace")</f>
        <v>Abrir enlace</v>
      </c>
      <c r="Q557" s="2"/>
      <c r="R557" s="2"/>
      <c r="S557" s="2"/>
      <c r="T557" s="2"/>
      <c r="U557" s="2"/>
      <c r="V557" s="2"/>
      <c r="W557" s="2"/>
      <c r="X557" s="2"/>
      <c r="Y557" s="2"/>
      <c r="Z557" s="2"/>
      <c r="AA557" s="2" t="s">
        <v>66</v>
      </c>
      <c r="AB557" s="2" t="s">
        <v>1887</v>
      </c>
      <c r="AC557" s="2"/>
      <c r="AD557" s="2"/>
      <c r="AE557" s="2"/>
    </row>
    <row r="558" ht="15.75" customHeight="1">
      <c r="A558" s="2">
        <v>558.0</v>
      </c>
      <c r="B558" s="2" t="s">
        <v>1884</v>
      </c>
      <c r="C558" s="2" t="s">
        <v>1885</v>
      </c>
      <c r="D558" s="2" t="s">
        <v>33</v>
      </c>
      <c r="E558" s="2" t="s">
        <v>64</v>
      </c>
      <c r="F558" s="3" t="s">
        <v>35</v>
      </c>
      <c r="G558" s="2"/>
      <c r="H558" s="2" t="s">
        <v>64</v>
      </c>
      <c r="I558" s="2" t="s">
        <v>36</v>
      </c>
      <c r="J558" s="2" t="s">
        <v>37</v>
      </c>
      <c r="K558" s="4" t="str">
        <f t="shared" si="55"/>
        <v>Abrir enlace</v>
      </c>
      <c r="L558" s="2" t="s">
        <v>214</v>
      </c>
      <c r="M558" s="2"/>
      <c r="N558" s="2" t="s">
        <v>54</v>
      </c>
      <c r="O558" s="2"/>
      <c r="P558" s="4" t="str">
        <f t="shared" si="56"/>
        <v>Abrir enlace</v>
      </c>
      <c r="Q558" s="2"/>
      <c r="R558" s="2"/>
      <c r="S558" s="2"/>
      <c r="T558" s="2"/>
      <c r="U558" s="2"/>
      <c r="V558" s="2"/>
      <c r="W558" s="2"/>
      <c r="X558" s="2"/>
      <c r="Y558" s="2"/>
      <c r="Z558" s="2"/>
      <c r="AA558" s="2" t="s">
        <v>66</v>
      </c>
      <c r="AB558" s="2" t="s">
        <v>67</v>
      </c>
      <c r="AC558" s="2"/>
      <c r="AD558" s="2"/>
      <c r="AE558" s="2"/>
    </row>
    <row r="559" ht="15.75" customHeight="1">
      <c r="A559" s="2">
        <v>559.0</v>
      </c>
      <c r="B559" s="2" t="s">
        <v>1884</v>
      </c>
      <c r="C559" s="2" t="s">
        <v>1885</v>
      </c>
      <c r="D559" s="2" t="s">
        <v>33</v>
      </c>
      <c r="E559" s="2" t="s">
        <v>64</v>
      </c>
      <c r="F559" s="3" t="s">
        <v>35</v>
      </c>
      <c r="G559" s="2"/>
      <c r="H559" s="2" t="s">
        <v>64</v>
      </c>
      <c r="I559" s="2" t="s">
        <v>36</v>
      </c>
      <c r="J559" s="2" t="s">
        <v>37</v>
      </c>
      <c r="K559" s="4" t="str">
        <f t="shared" si="55"/>
        <v>Abrir enlace</v>
      </c>
      <c r="L559" s="2" t="s">
        <v>214</v>
      </c>
      <c r="M559" s="2"/>
      <c r="N559" s="2" t="s">
        <v>54</v>
      </c>
      <c r="O559" s="2"/>
      <c r="P559" s="4" t="str">
        <f t="shared" si="56"/>
        <v>Abrir enlace</v>
      </c>
      <c r="Q559" s="2"/>
      <c r="R559" s="2"/>
      <c r="S559" s="2"/>
      <c r="T559" s="2"/>
      <c r="U559" s="2"/>
      <c r="V559" s="2"/>
      <c r="W559" s="2"/>
      <c r="X559" s="2"/>
      <c r="Y559" s="2"/>
      <c r="Z559" s="2"/>
      <c r="AA559" s="2" t="s">
        <v>66</v>
      </c>
      <c r="AB559" s="2" t="s">
        <v>67</v>
      </c>
      <c r="AC559" s="2"/>
      <c r="AD559" s="2"/>
      <c r="AE559" s="2"/>
    </row>
    <row r="560" ht="15.75" customHeight="1">
      <c r="A560" s="2">
        <v>560.0</v>
      </c>
      <c r="B560" s="2" t="s">
        <v>1884</v>
      </c>
      <c r="C560" s="2" t="s">
        <v>1885</v>
      </c>
      <c r="D560" s="2" t="s">
        <v>33</v>
      </c>
      <c r="E560" s="2" t="s">
        <v>64</v>
      </c>
      <c r="F560" s="3" t="s">
        <v>35</v>
      </c>
      <c r="G560" s="2"/>
      <c r="H560" s="2" t="s">
        <v>64</v>
      </c>
      <c r="I560" s="2" t="s">
        <v>36</v>
      </c>
      <c r="J560" s="2" t="s">
        <v>37</v>
      </c>
      <c r="K560" s="4" t="str">
        <f t="shared" si="55"/>
        <v>Abrir enlace</v>
      </c>
      <c r="L560" s="2" t="s">
        <v>214</v>
      </c>
      <c r="M560" s="2"/>
      <c r="N560" s="2" t="s">
        <v>54</v>
      </c>
      <c r="O560" s="2"/>
      <c r="P560" s="4" t="str">
        <f t="shared" si="56"/>
        <v>Abrir enlace</v>
      </c>
      <c r="Q560" s="2"/>
      <c r="R560" s="2"/>
      <c r="S560" s="2"/>
      <c r="T560" s="2"/>
      <c r="U560" s="2"/>
      <c r="V560" s="2"/>
      <c r="W560" s="2"/>
      <c r="X560" s="2"/>
      <c r="Y560" s="2"/>
      <c r="Z560" s="2"/>
      <c r="AA560" s="2" t="s">
        <v>66</v>
      </c>
      <c r="AB560" s="2" t="s">
        <v>67</v>
      </c>
      <c r="AC560" s="2"/>
      <c r="AD560" s="2"/>
      <c r="AE560" s="2"/>
    </row>
    <row r="561" ht="15.75" customHeight="1">
      <c r="A561" s="2">
        <v>561.0</v>
      </c>
      <c r="B561" s="2" t="s">
        <v>1888</v>
      </c>
      <c r="C561" s="2" t="s">
        <v>1889</v>
      </c>
      <c r="D561" s="2" t="s">
        <v>33</v>
      </c>
      <c r="E561" s="2" t="s">
        <v>34</v>
      </c>
      <c r="F561" s="3" t="s">
        <v>35</v>
      </c>
      <c r="G561" s="2"/>
      <c r="H561" s="2" t="s">
        <v>34</v>
      </c>
      <c r="I561" s="2" t="s">
        <v>36</v>
      </c>
      <c r="J561" s="2" t="s">
        <v>37</v>
      </c>
      <c r="K561" s="4" t="str">
        <f t="shared" ref="K561:K568" si="57">HYPERLINK("https://openlibrary.org/works/OL40889990W","Abrir enlace")</f>
        <v>Abrir enlace</v>
      </c>
      <c r="L561" s="2" t="s">
        <v>1890</v>
      </c>
      <c r="M561" s="2"/>
      <c r="N561" s="2" t="s">
        <v>45</v>
      </c>
      <c r="O561" s="2"/>
      <c r="P561" s="4" t="str">
        <f t="shared" ref="P561:P568" si="58">HYPERLINK("https://openlibrary.org/works/OL40889990W","Abrir enlace")</f>
        <v>Abrir enlace</v>
      </c>
      <c r="Q561" s="2"/>
      <c r="R561" s="2"/>
      <c r="S561" s="2"/>
      <c r="T561" s="2"/>
      <c r="U561" s="2"/>
      <c r="V561" s="2"/>
      <c r="W561" s="2"/>
      <c r="X561" s="2"/>
      <c r="Y561" s="2"/>
      <c r="Z561" s="2"/>
      <c r="AA561" s="2" t="s">
        <v>40</v>
      </c>
      <c r="AB561" s="2" t="s">
        <v>41</v>
      </c>
      <c r="AC561" s="2"/>
      <c r="AD561" s="2"/>
      <c r="AE561" s="2"/>
    </row>
    <row r="562" ht="15.75" customHeight="1">
      <c r="A562" s="2">
        <v>562.0</v>
      </c>
      <c r="B562" s="2" t="s">
        <v>1888</v>
      </c>
      <c r="C562" s="2" t="s">
        <v>1889</v>
      </c>
      <c r="D562" s="2" t="s">
        <v>33</v>
      </c>
      <c r="E562" s="2" t="s">
        <v>34</v>
      </c>
      <c r="F562" s="3" t="s">
        <v>35</v>
      </c>
      <c r="G562" s="2"/>
      <c r="H562" s="2" t="s">
        <v>34</v>
      </c>
      <c r="I562" s="2" t="s">
        <v>36</v>
      </c>
      <c r="J562" s="2" t="s">
        <v>37</v>
      </c>
      <c r="K562" s="4" t="str">
        <f t="shared" si="57"/>
        <v>Abrir enlace</v>
      </c>
      <c r="L562" s="2" t="s">
        <v>1890</v>
      </c>
      <c r="M562" s="2"/>
      <c r="N562" s="2" t="s">
        <v>45</v>
      </c>
      <c r="O562" s="2"/>
      <c r="P562" s="4" t="str">
        <f t="shared" si="58"/>
        <v>Abrir enlace</v>
      </c>
      <c r="Q562" s="2"/>
      <c r="R562" s="2"/>
      <c r="S562" s="2"/>
      <c r="T562" s="2"/>
      <c r="U562" s="2"/>
      <c r="V562" s="2"/>
      <c r="W562" s="2"/>
      <c r="X562" s="2"/>
      <c r="Y562" s="2"/>
      <c r="Z562" s="2"/>
      <c r="AA562" s="2" t="s">
        <v>40</v>
      </c>
      <c r="AB562" s="2" t="s">
        <v>41</v>
      </c>
      <c r="AC562" s="2"/>
      <c r="AD562" s="2"/>
      <c r="AE562" s="2"/>
    </row>
    <row r="563" ht="15.75" customHeight="1">
      <c r="A563" s="2">
        <v>563.0</v>
      </c>
      <c r="B563" s="2" t="s">
        <v>1888</v>
      </c>
      <c r="C563" s="2" t="s">
        <v>1889</v>
      </c>
      <c r="D563" s="2" t="s">
        <v>33</v>
      </c>
      <c r="E563" s="2" t="s">
        <v>34</v>
      </c>
      <c r="F563" s="3" t="s">
        <v>35</v>
      </c>
      <c r="G563" s="2"/>
      <c r="H563" s="2" t="s">
        <v>34</v>
      </c>
      <c r="I563" s="2" t="s">
        <v>36</v>
      </c>
      <c r="J563" s="2" t="s">
        <v>37</v>
      </c>
      <c r="K563" s="4" t="str">
        <f t="shared" si="57"/>
        <v>Abrir enlace</v>
      </c>
      <c r="L563" s="2" t="s">
        <v>1890</v>
      </c>
      <c r="M563" s="2"/>
      <c r="N563" s="2" t="s">
        <v>45</v>
      </c>
      <c r="O563" s="2"/>
      <c r="P563" s="4" t="str">
        <f t="shared" si="58"/>
        <v>Abrir enlace</v>
      </c>
      <c r="Q563" s="2"/>
      <c r="R563" s="2"/>
      <c r="S563" s="2"/>
      <c r="T563" s="2"/>
      <c r="U563" s="2"/>
      <c r="V563" s="2"/>
      <c r="W563" s="2"/>
      <c r="X563" s="2"/>
      <c r="Y563" s="2"/>
      <c r="Z563" s="2"/>
      <c r="AA563" s="2" t="s">
        <v>40</v>
      </c>
      <c r="AB563" s="2" t="s">
        <v>41</v>
      </c>
      <c r="AC563" s="2"/>
      <c r="AD563" s="2"/>
      <c r="AE563" s="2"/>
    </row>
    <row r="564" ht="15.75" customHeight="1">
      <c r="A564" s="2">
        <v>564.0</v>
      </c>
      <c r="B564" s="2" t="s">
        <v>1888</v>
      </c>
      <c r="C564" s="2" t="s">
        <v>1889</v>
      </c>
      <c r="D564" s="2" t="s">
        <v>33</v>
      </c>
      <c r="E564" s="2" t="s">
        <v>34</v>
      </c>
      <c r="F564" s="3" t="s">
        <v>35</v>
      </c>
      <c r="G564" s="2"/>
      <c r="H564" s="2" t="s">
        <v>34</v>
      </c>
      <c r="I564" s="2" t="s">
        <v>36</v>
      </c>
      <c r="J564" s="2" t="s">
        <v>37</v>
      </c>
      <c r="K564" s="4" t="str">
        <f t="shared" si="57"/>
        <v>Abrir enlace</v>
      </c>
      <c r="L564" s="2" t="s">
        <v>1890</v>
      </c>
      <c r="M564" s="2"/>
      <c r="N564" s="2" t="s">
        <v>45</v>
      </c>
      <c r="O564" s="2"/>
      <c r="P564" s="4" t="str">
        <f t="shared" si="58"/>
        <v>Abrir enlace</v>
      </c>
      <c r="Q564" s="2"/>
      <c r="R564" s="2"/>
      <c r="S564" s="2"/>
      <c r="T564" s="2"/>
      <c r="U564" s="2"/>
      <c r="V564" s="2"/>
      <c r="W564" s="2"/>
      <c r="X564" s="2"/>
      <c r="Y564" s="2"/>
      <c r="Z564" s="2"/>
      <c r="AA564" s="2" t="s">
        <v>40</v>
      </c>
      <c r="AB564" s="2" t="s">
        <v>41</v>
      </c>
      <c r="AC564" s="2"/>
      <c r="AD564" s="2"/>
      <c r="AE564" s="2"/>
    </row>
    <row r="565" ht="15.75" customHeight="1">
      <c r="A565" s="2">
        <v>565.0</v>
      </c>
      <c r="B565" s="2" t="s">
        <v>1888</v>
      </c>
      <c r="C565" s="2" t="s">
        <v>1889</v>
      </c>
      <c r="D565" s="2" t="s">
        <v>33</v>
      </c>
      <c r="E565" s="2" t="s">
        <v>34</v>
      </c>
      <c r="F565" s="3" t="s">
        <v>35</v>
      </c>
      <c r="G565" s="2"/>
      <c r="H565" s="2" t="s">
        <v>34</v>
      </c>
      <c r="I565" s="2" t="s">
        <v>36</v>
      </c>
      <c r="J565" s="2" t="s">
        <v>37</v>
      </c>
      <c r="K565" s="4" t="str">
        <f t="shared" si="57"/>
        <v>Abrir enlace</v>
      </c>
      <c r="L565" s="2" t="s">
        <v>1890</v>
      </c>
      <c r="M565" s="2"/>
      <c r="N565" s="2" t="s">
        <v>45</v>
      </c>
      <c r="O565" s="2"/>
      <c r="P565" s="4" t="str">
        <f t="shared" si="58"/>
        <v>Abrir enlace</v>
      </c>
      <c r="Q565" s="2"/>
      <c r="R565" s="2"/>
      <c r="S565" s="2"/>
      <c r="T565" s="2"/>
      <c r="U565" s="2"/>
      <c r="V565" s="2"/>
      <c r="W565" s="2"/>
      <c r="X565" s="2"/>
      <c r="Y565" s="2"/>
      <c r="Z565" s="2"/>
      <c r="AA565" s="2" t="s">
        <v>40</v>
      </c>
      <c r="AB565" s="2" t="s">
        <v>41</v>
      </c>
      <c r="AC565" s="2"/>
      <c r="AD565" s="2"/>
      <c r="AE565" s="2"/>
    </row>
    <row r="566" ht="15.75" customHeight="1">
      <c r="A566" s="2">
        <v>566.0</v>
      </c>
      <c r="B566" s="2" t="s">
        <v>1888</v>
      </c>
      <c r="C566" s="2" t="s">
        <v>1889</v>
      </c>
      <c r="D566" s="2" t="s">
        <v>33</v>
      </c>
      <c r="E566" s="2" t="s">
        <v>34</v>
      </c>
      <c r="F566" s="3" t="s">
        <v>35</v>
      </c>
      <c r="G566" s="2"/>
      <c r="H566" s="2" t="s">
        <v>34</v>
      </c>
      <c r="I566" s="2" t="s">
        <v>36</v>
      </c>
      <c r="J566" s="2" t="s">
        <v>37</v>
      </c>
      <c r="K566" s="4" t="str">
        <f t="shared" si="57"/>
        <v>Abrir enlace</v>
      </c>
      <c r="L566" s="2" t="s">
        <v>1890</v>
      </c>
      <c r="M566" s="2"/>
      <c r="N566" s="2" t="s">
        <v>45</v>
      </c>
      <c r="O566" s="2"/>
      <c r="P566" s="4" t="str">
        <f t="shared" si="58"/>
        <v>Abrir enlace</v>
      </c>
      <c r="Q566" s="2"/>
      <c r="R566" s="2"/>
      <c r="S566" s="2"/>
      <c r="T566" s="2"/>
      <c r="U566" s="2"/>
      <c r="V566" s="2"/>
      <c r="W566" s="2"/>
      <c r="X566" s="2"/>
      <c r="Y566" s="2"/>
      <c r="Z566" s="2"/>
      <c r="AA566" s="2" t="s">
        <v>40</v>
      </c>
      <c r="AB566" s="2" t="s">
        <v>41</v>
      </c>
      <c r="AC566" s="2"/>
      <c r="AD566" s="2"/>
      <c r="AE566" s="2"/>
    </row>
    <row r="567" ht="15.75" customHeight="1">
      <c r="A567" s="2">
        <v>567.0</v>
      </c>
      <c r="B567" s="2" t="s">
        <v>1888</v>
      </c>
      <c r="C567" s="2" t="s">
        <v>1889</v>
      </c>
      <c r="D567" s="2" t="s">
        <v>33</v>
      </c>
      <c r="E567" s="2" t="s">
        <v>34</v>
      </c>
      <c r="F567" s="3" t="s">
        <v>35</v>
      </c>
      <c r="G567" s="2"/>
      <c r="H567" s="2" t="s">
        <v>34</v>
      </c>
      <c r="I567" s="2" t="s">
        <v>36</v>
      </c>
      <c r="J567" s="2" t="s">
        <v>37</v>
      </c>
      <c r="K567" s="4" t="str">
        <f t="shared" si="57"/>
        <v>Abrir enlace</v>
      </c>
      <c r="L567" s="2" t="s">
        <v>1890</v>
      </c>
      <c r="M567" s="2"/>
      <c r="N567" s="2" t="s">
        <v>45</v>
      </c>
      <c r="O567" s="2"/>
      <c r="P567" s="4" t="str">
        <f t="shared" si="58"/>
        <v>Abrir enlace</v>
      </c>
      <c r="Q567" s="2"/>
      <c r="R567" s="2"/>
      <c r="S567" s="2"/>
      <c r="T567" s="2"/>
      <c r="U567" s="2"/>
      <c r="V567" s="2"/>
      <c r="W567" s="2"/>
      <c r="X567" s="2"/>
      <c r="Y567" s="2"/>
      <c r="Z567" s="2"/>
      <c r="AA567" s="2" t="s">
        <v>40</v>
      </c>
      <c r="AB567" s="2" t="s">
        <v>41</v>
      </c>
      <c r="AC567" s="2"/>
      <c r="AD567" s="2"/>
      <c r="AE567" s="2"/>
    </row>
    <row r="568" ht="15.75" customHeight="1">
      <c r="A568" s="2">
        <v>568.0</v>
      </c>
      <c r="B568" s="2" t="s">
        <v>1888</v>
      </c>
      <c r="C568" s="2" t="s">
        <v>1889</v>
      </c>
      <c r="D568" s="2" t="s">
        <v>33</v>
      </c>
      <c r="E568" s="2" t="s">
        <v>34</v>
      </c>
      <c r="F568" s="3" t="s">
        <v>35</v>
      </c>
      <c r="G568" s="2"/>
      <c r="H568" s="2" t="s">
        <v>34</v>
      </c>
      <c r="I568" s="2" t="s">
        <v>36</v>
      </c>
      <c r="J568" s="2" t="s">
        <v>37</v>
      </c>
      <c r="K568" s="4" t="str">
        <f t="shared" si="57"/>
        <v>Abrir enlace</v>
      </c>
      <c r="L568" s="2" t="s">
        <v>1890</v>
      </c>
      <c r="M568" s="2"/>
      <c r="N568" s="2" t="s">
        <v>45</v>
      </c>
      <c r="O568" s="2"/>
      <c r="P568" s="4" t="str">
        <f t="shared" si="58"/>
        <v>Abrir enlace</v>
      </c>
      <c r="Q568" s="2"/>
      <c r="R568" s="2"/>
      <c r="S568" s="2"/>
      <c r="T568" s="2"/>
      <c r="U568" s="2"/>
      <c r="V568" s="2"/>
      <c r="W568" s="2"/>
      <c r="X568" s="2"/>
      <c r="Y568" s="2"/>
      <c r="Z568" s="2"/>
      <c r="AA568" s="2" t="s">
        <v>40</v>
      </c>
      <c r="AB568" s="2" t="s">
        <v>41</v>
      </c>
      <c r="AC568" s="2"/>
      <c r="AD568" s="2"/>
      <c r="AE568" s="2"/>
    </row>
    <row r="569" ht="15.75" customHeight="1">
      <c r="A569" s="2">
        <v>569.0</v>
      </c>
      <c r="B569" s="2" t="s">
        <v>1891</v>
      </c>
      <c r="C569" s="2" t="s">
        <v>1892</v>
      </c>
      <c r="D569" s="2" t="s">
        <v>33</v>
      </c>
      <c r="E569" s="2" t="s">
        <v>112</v>
      </c>
      <c r="F569" s="2" t="s">
        <v>35</v>
      </c>
      <c r="G569" s="2"/>
      <c r="H569" s="2" t="s">
        <v>112</v>
      </c>
      <c r="I569" s="2" t="s">
        <v>36</v>
      </c>
      <c r="J569" s="2" t="s">
        <v>1893</v>
      </c>
      <c r="K569" s="4" t="str">
        <f>HYPERLINK("https://cd.dgb.uanl.mx/handle/201504211/13683","Abrir enlace")</f>
        <v>Abrir enlace</v>
      </c>
      <c r="L569" s="2" t="s">
        <v>1894</v>
      </c>
      <c r="M569" s="2"/>
      <c r="N569" s="2" t="s">
        <v>91</v>
      </c>
      <c r="O569" s="2" t="s">
        <v>1549</v>
      </c>
      <c r="P569" s="4" t="str">
        <f>HYPERLINK("https://cd.dgb.uanl.mx/handle/201504211/13683","Abrir enlace")</f>
        <v>Abrir enlace</v>
      </c>
      <c r="Q569" s="2" t="s">
        <v>1895</v>
      </c>
      <c r="R569" s="2"/>
      <c r="S569" s="2" t="s">
        <v>91</v>
      </c>
      <c r="T569" s="2" t="s">
        <v>1287</v>
      </c>
      <c r="U569" s="4" t="str">
        <f>HYPERLINK("https://archive.org/details/delprotestantism0000augu","Abrir enlace")</f>
        <v>Abrir enlace</v>
      </c>
      <c r="V569" s="2" t="s">
        <v>1896</v>
      </c>
      <c r="W569" s="2"/>
      <c r="X569" s="2" t="s">
        <v>91</v>
      </c>
      <c r="Y569" s="2" t="s">
        <v>1269</v>
      </c>
      <c r="Z569" s="4" t="str">
        <f>HYPERLINK("https://live.mortonsubastas.com/en/online-auctions/morton-subastas/nicol-s-augusto-el-protestantismo-y-todas-las-hereg-as-en-relaci-n-que-tienen-con-el-socialismo-m-xico-establ-700"&amp;"0536","Abrir enlace")</f>
        <v>Abrir enlace</v>
      </c>
      <c r="AA569" s="2"/>
      <c r="AB569" s="2"/>
      <c r="AC569" s="2"/>
      <c r="AD569" s="2"/>
      <c r="AE569" s="2"/>
    </row>
    <row r="570" ht="15.75" customHeight="1">
      <c r="A570" s="2">
        <v>570.0</v>
      </c>
      <c r="B570" s="2" t="s">
        <v>1891</v>
      </c>
      <c r="C570" s="2" t="s">
        <v>1892</v>
      </c>
      <c r="D570" s="2" t="s">
        <v>33</v>
      </c>
      <c r="E570" s="2" t="s">
        <v>112</v>
      </c>
      <c r="F570" s="2" t="s">
        <v>35</v>
      </c>
      <c r="G570" s="2"/>
      <c r="H570" s="2" t="s">
        <v>112</v>
      </c>
      <c r="I570" s="2" t="s">
        <v>36</v>
      </c>
      <c r="J570" s="2" t="s">
        <v>1893</v>
      </c>
      <c r="K570" s="2" t="s">
        <v>757</v>
      </c>
      <c r="L570" s="2" t="s">
        <v>1894</v>
      </c>
      <c r="M570" s="2"/>
      <c r="N570" s="2" t="s">
        <v>91</v>
      </c>
      <c r="O570" s="2" t="s">
        <v>1549</v>
      </c>
      <c r="P570" s="2" t="s">
        <v>757</v>
      </c>
      <c r="Q570" s="2" t="s">
        <v>1895</v>
      </c>
      <c r="R570" s="2"/>
      <c r="S570" s="2" t="s">
        <v>91</v>
      </c>
      <c r="T570" s="2" t="s">
        <v>1287</v>
      </c>
      <c r="U570" s="2" t="s">
        <v>757</v>
      </c>
      <c r="V570" s="2" t="s">
        <v>1896</v>
      </c>
      <c r="W570" s="2"/>
      <c r="X570" s="2" t="s">
        <v>91</v>
      </c>
      <c r="Y570" s="2" t="s">
        <v>1269</v>
      </c>
      <c r="Z570" s="2" t="s">
        <v>757</v>
      </c>
      <c r="AA570" s="2"/>
      <c r="AB570" s="2"/>
      <c r="AC570" s="2"/>
      <c r="AD570" s="2"/>
      <c r="AE570" s="2"/>
    </row>
    <row r="571" ht="15.75" customHeight="1">
      <c r="A571" s="2">
        <v>571.0</v>
      </c>
      <c r="B571" s="2" t="s">
        <v>1897</v>
      </c>
      <c r="C571" s="2"/>
      <c r="D571" s="2" t="s">
        <v>49</v>
      </c>
      <c r="E571" s="2" t="s">
        <v>64</v>
      </c>
      <c r="F571" s="2" t="s">
        <v>35</v>
      </c>
      <c r="G571" s="2"/>
      <c r="H571" s="2" t="s">
        <v>64</v>
      </c>
      <c r="I571" s="2" t="s">
        <v>36</v>
      </c>
      <c r="J571" s="2" t="s">
        <v>1898</v>
      </c>
      <c r="K571" s="4" t="str">
        <f>HYPERLINK("https://books.google.com/books/about/Publii_Ovidii_Nasonis_Opera.html?id=P68SCKHV9_sC","Abrir enlace")</f>
        <v>Abrir enlace</v>
      </c>
      <c r="L571" s="2" t="s">
        <v>1899</v>
      </c>
      <c r="M571" s="2"/>
      <c r="N571" s="2" t="s">
        <v>91</v>
      </c>
      <c r="O571" s="2" t="s">
        <v>1900</v>
      </c>
      <c r="P571" s="4" t="str">
        <f>HYPERLINK("https://books.google.com/books/about/Publii_Ovidii_Nasonis_Opera.html?id=P68SCKHV9_sC","Abrir enlace")</f>
        <v>Abrir enlace</v>
      </c>
      <c r="Q571" s="2" t="s">
        <v>1901</v>
      </c>
      <c r="R571" s="2"/>
      <c r="S571" s="2" t="s">
        <v>91</v>
      </c>
      <c r="T571" s="2" t="s">
        <v>1902</v>
      </c>
      <c r="U571" s="4" t="str">
        <f>HYPERLINK("https://books.google.com/books/about/Publii_Ovidii_Nasonis_Opera_omnia.html?id=KYMPAAAAYAAJ","Abrir enlace")</f>
        <v>Abrir enlace</v>
      </c>
      <c r="V571" s="2" t="s">
        <v>1903</v>
      </c>
      <c r="W571" s="2"/>
      <c r="X571" s="2" t="s">
        <v>91</v>
      </c>
      <c r="Y571" s="2" t="s">
        <v>1904</v>
      </c>
      <c r="Z571" s="4" t="str">
        <f>HYPERLINK("https://archive.org/details/publiiovidiinaso04ovid","Abrir enlace")</f>
        <v>Abrir enlace</v>
      </c>
      <c r="AA571" s="2"/>
      <c r="AB571" s="2"/>
      <c r="AC571" s="2"/>
      <c r="AD571" s="2"/>
      <c r="AE571" s="2"/>
    </row>
    <row r="572" ht="15.75" customHeight="1">
      <c r="A572" s="2">
        <v>572.0</v>
      </c>
      <c r="B572" s="2" t="s">
        <v>1897</v>
      </c>
      <c r="C572" s="2"/>
      <c r="D572" s="2" t="s">
        <v>49</v>
      </c>
      <c r="E572" s="2" t="s">
        <v>64</v>
      </c>
      <c r="F572" s="2" t="s">
        <v>35</v>
      </c>
      <c r="G572" s="2"/>
      <c r="H572" s="2" t="s">
        <v>64</v>
      </c>
      <c r="I572" s="2" t="s">
        <v>36</v>
      </c>
      <c r="J572" s="2" t="s">
        <v>1898</v>
      </c>
      <c r="K572" s="2" t="s">
        <v>757</v>
      </c>
      <c r="L572" s="2" t="s">
        <v>1899</v>
      </c>
      <c r="M572" s="2"/>
      <c r="N572" s="2" t="s">
        <v>91</v>
      </c>
      <c r="O572" s="2" t="s">
        <v>1900</v>
      </c>
      <c r="P572" s="2" t="s">
        <v>757</v>
      </c>
      <c r="Q572" s="2" t="s">
        <v>1901</v>
      </c>
      <c r="R572" s="2"/>
      <c r="S572" s="2" t="s">
        <v>91</v>
      </c>
      <c r="T572" s="2" t="s">
        <v>1902</v>
      </c>
      <c r="U572" s="2" t="s">
        <v>757</v>
      </c>
      <c r="V572" s="2" t="s">
        <v>1903</v>
      </c>
      <c r="W572" s="2"/>
      <c r="X572" s="2" t="s">
        <v>91</v>
      </c>
      <c r="Y572" s="2" t="s">
        <v>1904</v>
      </c>
      <c r="Z572" s="2" t="s">
        <v>757</v>
      </c>
      <c r="AA572" s="2"/>
      <c r="AB572" s="2"/>
      <c r="AC572" s="2"/>
      <c r="AD572" s="2"/>
      <c r="AE572" s="2"/>
    </row>
    <row r="573" ht="15.75" customHeight="1">
      <c r="A573" s="2">
        <v>573.0</v>
      </c>
      <c r="B573" s="2" t="s">
        <v>1897</v>
      </c>
      <c r="C573" s="2"/>
      <c r="D573" s="2" t="s">
        <v>49</v>
      </c>
      <c r="E573" s="2" t="s">
        <v>64</v>
      </c>
      <c r="F573" s="2" t="s">
        <v>35</v>
      </c>
      <c r="G573" s="2"/>
      <c r="H573" s="2" t="s">
        <v>64</v>
      </c>
      <c r="I573" s="2" t="s">
        <v>36</v>
      </c>
      <c r="J573" s="2" t="s">
        <v>1898</v>
      </c>
      <c r="K573" s="2" t="s">
        <v>757</v>
      </c>
      <c r="L573" s="2" t="s">
        <v>1899</v>
      </c>
      <c r="M573" s="2"/>
      <c r="N573" s="2" t="s">
        <v>91</v>
      </c>
      <c r="O573" s="2" t="s">
        <v>1900</v>
      </c>
      <c r="P573" s="2" t="s">
        <v>757</v>
      </c>
      <c r="Q573" s="2" t="s">
        <v>1901</v>
      </c>
      <c r="R573" s="2"/>
      <c r="S573" s="2" t="s">
        <v>91</v>
      </c>
      <c r="T573" s="2" t="s">
        <v>1902</v>
      </c>
      <c r="U573" s="2" t="s">
        <v>757</v>
      </c>
      <c r="V573" s="2" t="s">
        <v>1903</v>
      </c>
      <c r="W573" s="2"/>
      <c r="X573" s="2" t="s">
        <v>91</v>
      </c>
      <c r="Y573" s="2" t="s">
        <v>1904</v>
      </c>
      <c r="Z573" s="2" t="s">
        <v>757</v>
      </c>
      <c r="AA573" s="2"/>
      <c r="AB573" s="2"/>
      <c r="AC573" s="2"/>
      <c r="AD573" s="2"/>
      <c r="AE573" s="2"/>
    </row>
    <row r="574" ht="15.75" customHeight="1">
      <c r="A574" s="2">
        <v>574.0</v>
      </c>
      <c r="B574" s="2" t="s">
        <v>1897</v>
      </c>
      <c r="C574" s="2"/>
      <c r="D574" s="2" t="s">
        <v>49</v>
      </c>
      <c r="E574" s="2" t="s">
        <v>64</v>
      </c>
      <c r="F574" s="2" t="s">
        <v>35</v>
      </c>
      <c r="G574" s="2"/>
      <c r="H574" s="2" t="s">
        <v>64</v>
      </c>
      <c r="I574" s="2" t="s">
        <v>36</v>
      </c>
      <c r="J574" s="2" t="s">
        <v>1898</v>
      </c>
      <c r="K574" s="2" t="s">
        <v>757</v>
      </c>
      <c r="L574" s="2" t="s">
        <v>1899</v>
      </c>
      <c r="M574" s="2"/>
      <c r="N574" s="2" t="s">
        <v>91</v>
      </c>
      <c r="O574" s="2" t="s">
        <v>1900</v>
      </c>
      <c r="P574" s="2" t="s">
        <v>757</v>
      </c>
      <c r="Q574" s="2" t="s">
        <v>1901</v>
      </c>
      <c r="R574" s="2"/>
      <c r="S574" s="2" t="s">
        <v>91</v>
      </c>
      <c r="T574" s="2" t="s">
        <v>1902</v>
      </c>
      <c r="U574" s="2" t="s">
        <v>757</v>
      </c>
      <c r="V574" s="2" t="s">
        <v>1903</v>
      </c>
      <c r="W574" s="2"/>
      <c r="X574" s="2" t="s">
        <v>91</v>
      </c>
      <c r="Y574" s="2" t="s">
        <v>1904</v>
      </c>
      <c r="Z574" s="2" t="s">
        <v>757</v>
      </c>
      <c r="AA574" s="2"/>
      <c r="AB574" s="2"/>
      <c r="AC574" s="2"/>
      <c r="AD574" s="2"/>
      <c r="AE574" s="2"/>
    </row>
    <row r="575" ht="15.75" customHeight="1">
      <c r="A575" s="2">
        <v>575.0</v>
      </c>
      <c r="B575" s="2" t="s">
        <v>1905</v>
      </c>
      <c r="C575" s="2" t="s">
        <v>1906</v>
      </c>
      <c r="D575" s="2" t="s">
        <v>33</v>
      </c>
      <c r="E575" s="2" t="s">
        <v>112</v>
      </c>
      <c r="F575" s="3" t="s">
        <v>35</v>
      </c>
      <c r="G575" s="2"/>
      <c r="H575" s="2" t="s">
        <v>112</v>
      </c>
      <c r="I575" s="2" t="s">
        <v>168</v>
      </c>
      <c r="J575" s="2" t="s">
        <v>1907</v>
      </c>
      <c r="K575" s="4" t="str">
        <f>HYPERLINK("https://openlibrary.org/works/OL37705877W","Abrir enlace")</f>
        <v>Abrir enlace</v>
      </c>
      <c r="L575" s="2" t="s">
        <v>1908</v>
      </c>
      <c r="M575" s="2"/>
      <c r="N575" s="2" t="s">
        <v>45</v>
      </c>
      <c r="O575" s="2"/>
      <c r="P575" s="4" t="str">
        <f>HYPERLINK("https://openlibrary.org/works/OL37705877W","Abrir enlace")</f>
        <v>Abrir enlace</v>
      </c>
      <c r="Q575" s="2"/>
      <c r="R575" s="2"/>
      <c r="S575" s="2"/>
      <c r="T575" s="2"/>
      <c r="U575" s="2"/>
      <c r="V575" s="2"/>
      <c r="W575" s="2"/>
      <c r="X575" s="2"/>
      <c r="Y575" s="2"/>
      <c r="Z575" s="2"/>
      <c r="AA575" s="2" t="s">
        <v>51</v>
      </c>
      <c r="AB575" s="2" t="s">
        <v>1909</v>
      </c>
      <c r="AC575" s="2"/>
      <c r="AD575" s="2"/>
      <c r="AE575" s="2"/>
    </row>
    <row r="576" ht="15.75" customHeight="1">
      <c r="A576" s="2">
        <v>576.0</v>
      </c>
      <c r="B576" s="2" t="s">
        <v>1910</v>
      </c>
      <c r="C576" s="2" t="s">
        <v>1911</v>
      </c>
      <c r="D576" s="2" t="s">
        <v>33</v>
      </c>
      <c r="E576" s="2" t="s">
        <v>112</v>
      </c>
      <c r="F576" s="2" t="s">
        <v>35</v>
      </c>
      <c r="G576" s="2"/>
      <c r="H576" s="2" t="s">
        <v>112</v>
      </c>
      <c r="I576" s="2" t="s">
        <v>36</v>
      </c>
      <c r="J576" s="2" t="s">
        <v>1912</v>
      </c>
      <c r="K576" s="4" t="str">
        <f>HYPERLINK("https://bibliotecavirtualmadrid.comunidad.madrid/bvmadrid_publicacion/es/consulta/registro.do?id=59239","Abrir enlace")</f>
        <v>Abrir enlace</v>
      </c>
      <c r="L576" s="2" t="s">
        <v>1913</v>
      </c>
      <c r="M576" s="2"/>
      <c r="N576" s="2" t="s">
        <v>91</v>
      </c>
      <c r="O576" s="2" t="s">
        <v>735</v>
      </c>
      <c r="P576" s="4" t="str">
        <f>HYPERLINK("https://bibliotecavirtualmadrid.comunidad.madrid/bvmadrid_publicacion/es/consulta/registro.do?id=59239","Abrir enlace")</f>
        <v>Abrir enlace</v>
      </c>
      <c r="Q576" s="2" t="s">
        <v>1914</v>
      </c>
      <c r="R576" s="2"/>
      <c r="S576" s="2" t="s">
        <v>91</v>
      </c>
      <c r="T576" s="2" t="s">
        <v>1915</v>
      </c>
      <c r="U576" s="4" t="str">
        <f>HYPERLINK("https://bibliotecavirtualmadrid.comunidad.madrid/bvmadrid_publicacion/en/consulta/registro.do?id=59239","Abrir enlace")</f>
        <v>Abrir enlace</v>
      </c>
      <c r="V576" s="2" t="s">
        <v>1916</v>
      </c>
      <c r="W576" s="2"/>
      <c r="X576" s="2" t="s">
        <v>54</v>
      </c>
      <c r="Y576" s="2" t="s">
        <v>1917</v>
      </c>
      <c r="Z576" s="4" t="str">
        <f>HYPERLINK("https://archive.org/details/A3ParaMercadoProgresoAlexanderDure","Abrir enlace")</f>
        <v>Abrir enlace</v>
      </c>
      <c r="AA576" s="2"/>
      <c r="AB576" s="2"/>
      <c r="AC576" s="2"/>
      <c r="AD576" s="2"/>
      <c r="AE576" s="2"/>
    </row>
    <row r="577" ht="15.75" customHeight="1">
      <c r="A577" s="2">
        <v>577.0</v>
      </c>
      <c r="B577" s="2" t="s">
        <v>1918</v>
      </c>
      <c r="C577" s="2" t="s">
        <v>1919</v>
      </c>
      <c r="D577" s="2" t="s">
        <v>165</v>
      </c>
      <c r="E577" s="2" t="s">
        <v>64</v>
      </c>
      <c r="F577" s="2" t="s">
        <v>35</v>
      </c>
      <c r="G577" s="2"/>
      <c r="H577" s="2" t="s">
        <v>64</v>
      </c>
      <c r="I577" s="2" t="s">
        <v>36</v>
      </c>
      <c r="J577" s="2" t="s">
        <v>1920</v>
      </c>
      <c r="K577" s="4" t="str">
        <f>HYPERLINK("https://books.google.co.cr/books?id=3__1jwEACAAJ&amp;printsec=frontcover#v=onepage&amp;q&amp;f=false","Abrir enlace")</f>
        <v>Abrir enlace</v>
      </c>
      <c r="L577" s="2" t="s">
        <v>1921</v>
      </c>
      <c r="M577" s="2"/>
      <c r="N577" s="2" t="s">
        <v>54</v>
      </c>
      <c r="O577" s="2" t="s">
        <v>1922</v>
      </c>
      <c r="P577" s="4" t="str">
        <f>HYPERLINK("https://books.google.co.cr/books?id=3__1jwEACAAJ&amp;printsec=frontcover#v=onepage&amp;q&amp;f=false","Abrir enlace")</f>
        <v>Abrir enlace</v>
      </c>
      <c r="Q577" s="2" t="s">
        <v>1923</v>
      </c>
      <c r="R577" s="2" t="s">
        <v>1924</v>
      </c>
      <c r="S577" s="2" t="s">
        <v>54</v>
      </c>
      <c r="T577" s="2" t="s">
        <v>1925</v>
      </c>
      <c r="U577" s="4" t="str">
        <f>HYPERLINK("https://archive.org/details/xenophontisquae00unkngoog","Abrir enlace")</f>
        <v>Abrir enlace</v>
      </c>
      <c r="V577" s="2" t="s">
        <v>1926</v>
      </c>
      <c r="W577" s="2" t="s">
        <v>1927</v>
      </c>
      <c r="X577" s="2" t="s">
        <v>54</v>
      </c>
      <c r="Y577" s="2" t="s">
        <v>1928</v>
      </c>
      <c r="Z577" s="4" t="str">
        <f>HYPERLINK("https://archive.org/details/IA41544302_0039","Abrir enlace")</f>
        <v>Abrir enlace</v>
      </c>
      <c r="AA577" s="2"/>
      <c r="AB577" s="2"/>
      <c r="AC577" s="2"/>
      <c r="AD577" s="2"/>
      <c r="AE577" s="2"/>
    </row>
    <row r="578" ht="15.75" customHeight="1">
      <c r="A578" s="2">
        <v>578.0</v>
      </c>
      <c r="B578" s="2" t="s">
        <v>1929</v>
      </c>
      <c r="C578" s="2" t="s">
        <v>1930</v>
      </c>
      <c r="D578" s="2" t="s">
        <v>33</v>
      </c>
      <c r="E578" s="2" t="s">
        <v>64</v>
      </c>
      <c r="F578" s="3" t="s">
        <v>35</v>
      </c>
      <c r="G578" s="2"/>
      <c r="H578" s="2" t="s">
        <v>64</v>
      </c>
      <c r="I578" s="2" t="s">
        <v>36</v>
      </c>
      <c r="J578" s="2" t="s">
        <v>37</v>
      </c>
      <c r="K578" s="4" t="str">
        <f t="shared" ref="K578:K579" si="59">HYPERLINK("https://openlibrary.org/works/OL44086390W","Abrir enlace")</f>
        <v>Abrir enlace</v>
      </c>
      <c r="L578" s="2" t="s">
        <v>1931</v>
      </c>
      <c r="M578" s="2"/>
      <c r="N578" s="2" t="s">
        <v>45</v>
      </c>
      <c r="O578" s="2"/>
      <c r="P578" s="4" t="str">
        <f t="shared" ref="P578:P579" si="60">HYPERLINK("https://openlibrary.org/works/OL44086390W","Abrir enlace")</f>
        <v>Abrir enlace</v>
      </c>
      <c r="Q578" s="2"/>
      <c r="R578" s="2"/>
      <c r="S578" s="2"/>
      <c r="T578" s="2"/>
      <c r="U578" s="2"/>
      <c r="V578" s="2"/>
      <c r="W578" s="2"/>
      <c r="X578" s="2"/>
      <c r="Y578" s="2"/>
      <c r="Z578" s="2"/>
      <c r="AA578" s="2" t="s">
        <v>51</v>
      </c>
      <c r="AB578" s="2" t="s">
        <v>67</v>
      </c>
      <c r="AC578" s="2"/>
      <c r="AD578" s="2"/>
      <c r="AE578" s="2"/>
    </row>
    <row r="579" ht="15.75" customHeight="1">
      <c r="A579" s="2">
        <v>579.0</v>
      </c>
      <c r="B579" s="2" t="s">
        <v>1929</v>
      </c>
      <c r="C579" s="2" t="s">
        <v>1930</v>
      </c>
      <c r="D579" s="2" t="s">
        <v>33</v>
      </c>
      <c r="E579" s="2" t="s">
        <v>64</v>
      </c>
      <c r="F579" s="3" t="s">
        <v>35</v>
      </c>
      <c r="G579" s="2"/>
      <c r="H579" s="2" t="s">
        <v>64</v>
      </c>
      <c r="I579" s="2" t="s">
        <v>36</v>
      </c>
      <c r="J579" s="2" t="s">
        <v>37</v>
      </c>
      <c r="K579" s="4" t="str">
        <f t="shared" si="59"/>
        <v>Abrir enlace</v>
      </c>
      <c r="L579" s="2" t="s">
        <v>1931</v>
      </c>
      <c r="M579" s="2"/>
      <c r="N579" s="2" t="s">
        <v>45</v>
      </c>
      <c r="O579" s="2"/>
      <c r="P579" s="4" t="str">
        <f t="shared" si="60"/>
        <v>Abrir enlace</v>
      </c>
      <c r="Q579" s="2"/>
      <c r="R579" s="2"/>
      <c r="S579" s="2"/>
      <c r="T579" s="2"/>
      <c r="U579" s="2"/>
      <c r="V579" s="2"/>
      <c r="W579" s="2"/>
      <c r="X579" s="2"/>
      <c r="Y579" s="2"/>
      <c r="Z579" s="2"/>
      <c r="AA579" s="2" t="s">
        <v>51</v>
      </c>
      <c r="AB579" s="2" t="s">
        <v>67</v>
      </c>
      <c r="AC579" s="2"/>
      <c r="AD579" s="2"/>
      <c r="AE579" s="2"/>
    </row>
    <row r="580" ht="15.75" customHeight="1">
      <c r="A580" s="2">
        <v>580.0</v>
      </c>
      <c r="B580" s="2" t="s">
        <v>1932</v>
      </c>
      <c r="C580" s="2"/>
      <c r="D580" s="2" t="s">
        <v>49</v>
      </c>
      <c r="E580" s="2" t="s">
        <v>34</v>
      </c>
      <c r="F580" s="3" t="s">
        <v>35</v>
      </c>
      <c r="G580" s="2"/>
      <c r="H580" s="2" t="s">
        <v>34</v>
      </c>
      <c r="I580" s="2" t="s">
        <v>36</v>
      </c>
      <c r="J580" s="2" t="s">
        <v>1933</v>
      </c>
      <c r="K580" s="4" t="str">
        <f>HYPERLINK("https://archive.org/details/adparatvslitter01freygoog","Abrir enlace")</f>
        <v>Abrir enlace</v>
      </c>
      <c r="L580" s="2" t="s">
        <v>1934</v>
      </c>
      <c r="M580" s="2"/>
      <c r="N580" s="2" t="s">
        <v>54</v>
      </c>
      <c r="O580" s="2"/>
      <c r="P580" s="4" t="str">
        <f>HYPERLINK("https://archive.org/details/adparatvslitter01freygoog","Abrir enlace")</f>
        <v>Abrir enlace</v>
      </c>
      <c r="Q580" s="2"/>
      <c r="R580" s="2"/>
      <c r="S580" s="2"/>
      <c r="T580" s="2"/>
      <c r="U580" s="2"/>
      <c r="V580" s="2"/>
      <c r="W580" s="2"/>
      <c r="X580" s="2"/>
      <c r="Y580" s="2"/>
      <c r="Z580" s="2"/>
      <c r="AA580" s="2" t="s">
        <v>46</v>
      </c>
      <c r="AB580" s="2" t="s">
        <v>1935</v>
      </c>
      <c r="AC580" s="2"/>
      <c r="AD580" s="2"/>
      <c r="AE580" s="2"/>
    </row>
    <row r="581" ht="15.75" customHeight="1">
      <c r="A581" s="2">
        <v>581.0</v>
      </c>
      <c r="B581" s="2" t="s">
        <v>1936</v>
      </c>
      <c r="C581" s="2" t="s">
        <v>1937</v>
      </c>
      <c r="D581" s="2" t="s">
        <v>33</v>
      </c>
      <c r="E581" s="2" t="s">
        <v>112</v>
      </c>
      <c r="F581" s="3" t="s">
        <v>35</v>
      </c>
      <c r="G581" s="2"/>
      <c r="H581" s="2" t="s">
        <v>112</v>
      </c>
      <c r="I581" s="2" t="s">
        <v>36</v>
      </c>
      <c r="J581" s="2" t="s">
        <v>1938</v>
      </c>
      <c r="K581" s="4" t="str">
        <f>HYPERLINK("https://archive.org/details/artedeencomendar0000anto","Abrir enlace")</f>
        <v>Abrir enlace</v>
      </c>
      <c r="L581" s="2" t="s">
        <v>1939</v>
      </c>
      <c r="M581" s="2"/>
      <c r="N581" s="2" t="s">
        <v>54</v>
      </c>
      <c r="O581" s="2"/>
      <c r="P581" s="4" t="str">
        <f>HYPERLINK("https://archive.org/details/artedeencomendar0000anto","Abrir enlace")</f>
        <v>Abrir enlace</v>
      </c>
      <c r="Q581" s="2"/>
      <c r="R581" s="2"/>
      <c r="S581" s="2"/>
      <c r="T581" s="2"/>
      <c r="U581" s="2"/>
      <c r="V581" s="2"/>
      <c r="W581" s="2"/>
      <c r="X581" s="2"/>
      <c r="Y581" s="2"/>
      <c r="Z581" s="2"/>
      <c r="AA581" s="2" t="s">
        <v>51</v>
      </c>
      <c r="AB581" s="2" t="s">
        <v>1940</v>
      </c>
      <c r="AC581" s="2"/>
      <c r="AD581" s="2"/>
      <c r="AE581" s="2"/>
    </row>
    <row r="582" ht="15.75" customHeight="1">
      <c r="A582" s="2">
        <v>582.0</v>
      </c>
      <c r="B582" s="2" t="s">
        <v>1941</v>
      </c>
      <c r="C582" s="2" t="s">
        <v>1942</v>
      </c>
      <c r="D582" s="2" t="s">
        <v>33</v>
      </c>
      <c r="E582" s="2" t="s">
        <v>70</v>
      </c>
      <c r="F582" s="3" t="s">
        <v>35</v>
      </c>
      <c r="G582" s="2"/>
      <c r="H582" s="2" t="s">
        <v>70</v>
      </c>
      <c r="I582" s="2" t="s">
        <v>36</v>
      </c>
      <c r="J582" s="2" t="s">
        <v>37</v>
      </c>
      <c r="K582" s="4" t="str">
        <f>HYPERLINK("https://openlibrary.org/works/OL43149102W","Abrir enlace")</f>
        <v>Abrir enlace</v>
      </c>
      <c r="L582" s="2" t="s">
        <v>1943</v>
      </c>
      <c r="M582" s="2"/>
      <c r="N582" s="2" t="s">
        <v>45</v>
      </c>
      <c r="O582" s="2"/>
      <c r="P582" s="4" t="str">
        <f>HYPERLINK("https://openlibrary.org/works/OL43149102W","Abrir enlace")</f>
        <v>Abrir enlace</v>
      </c>
      <c r="Q582" s="2"/>
      <c r="R582" s="2"/>
      <c r="S582" s="2"/>
      <c r="T582" s="2"/>
      <c r="U582" s="2"/>
      <c r="V582" s="2"/>
      <c r="W582" s="2"/>
      <c r="X582" s="2"/>
      <c r="Y582" s="2"/>
      <c r="Z582" s="2"/>
      <c r="AA582" s="2" t="s">
        <v>51</v>
      </c>
      <c r="AB582" s="2" t="s">
        <v>72</v>
      </c>
      <c r="AC582" s="2"/>
      <c r="AD582" s="2"/>
      <c r="AE582" s="2"/>
    </row>
    <row r="583" ht="15.75" customHeight="1">
      <c r="A583" s="2">
        <v>583.0</v>
      </c>
      <c r="B583" s="2" t="s">
        <v>1944</v>
      </c>
      <c r="C583" s="2"/>
      <c r="D583" s="2" t="s">
        <v>49</v>
      </c>
      <c r="E583" s="2" t="s">
        <v>34</v>
      </c>
      <c r="F583" s="3" t="s">
        <v>35</v>
      </c>
      <c r="G583" s="2"/>
      <c r="H583" s="2" t="s">
        <v>34</v>
      </c>
      <c r="I583" s="2" t="s">
        <v>168</v>
      </c>
      <c r="J583" s="2" t="s">
        <v>1945</v>
      </c>
      <c r="K583" s="4" t="str">
        <f t="shared" ref="K583:K584" si="61">HYPERLINK("https://archive.org/details/CASGA_380207_012","Abrir enlace")</f>
        <v>Abrir enlace</v>
      </c>
      <c r="L583" s="2" t="s">
        <v>1946</v>
      </c>
      <c r="M583" s="2"/>
      <c r="N583" s="2" t="s">
        <v>54</v>
      </c>
      <c r="O583" s="2"/>
      <c r="P583" s="4" t="str">
        <f t="shared" ref="P583:P584" si="62">HYPERLINK("https://archive.org/details/CASGA_380207_012","Abrir enlace")</f>
        <v>Abrir enlace</v>
      </c>
      <c r="Q583" s="2"/>
      <c r="R583" s="2"/>
      <c r="S583" s="2"/>
      <c r="T583" s="2"/>
      <c r="U583" s="2"/>
      <c r="V583" s="2"/>
      <c r="W583" s="2"/>
      <c r="X583" s="2"/>
      <c r="Y583" s="2"/>
      <c r="Z583" s="2"/>
      <c r="AA583" s="2" t="s">
        <v>51</v>
      </c>
      <c r="AB583" s="2" t="s">
        <v>1947</v>
      </c>
      <c r="AC583" s="2"/>
      <c r="AD583" s="2"/>
      <c r="AE583" s="2"/>
    </row>
    <row r="584" ht="15.75" customHeight="1">
      <c r="A584" s="2">
        <v>584.0</v>
      </c>
      <c r="B584" s="2" t="s">
        <v>1944</v>
      </c>
      <c r="C584" s="2"/>
      <c r="D584" s="2" t="s">
        <v>49</v>
      </c>
      <c r="E584" s="2" t="s">
        <v>112</v>
      </c>
      <c r="F584" s="3" t="s">
        <v>35</v>
      </c>
      <c r="G584" s="2"/>
      <c r="H584" s="2" t="s">
        <v>112</v>
      </c>
      <c r="I584" s="2" t="s">
        <v>36</v>
      </c>
      <c r="J584" s="2" t="s">
        <v>37</v>
      </c>
      <c r="K584" s="4" t="str">
        <f t="shared" si="61"/>
        <v>Abrir enlace</v>
      </c>
      <c r="L584" s="2" t="s">
        <v>1946</v>
      </c>
      <c r="M584" s="2"/>
      <c r="N584" s="2" t="s">
        <v>54</v>
      </c>
      <c r="O584" s="2"/>
      <c r="P584" s="4" t="str">
        <f t="shared" si="62"/>
        <v>Abrir enlace</v>
      </c>
      <c r="Q584" s="2"/>
      <c r="R584" s="2"/>
      <c r="S584" s="2"/>
      <c r="T584" s="2"/>
      <c r="U584" s="2"/>
      <c r="V584" s="2"/>
      <c r="W584" s="2"/>
      <c r="X584" s="2"/>
      <c r="Y584" s="2"/>
      <c r="Z584" s="2"/>
      <c r="AA584" s="2" t="s">
        <v>51</v>
      </c>
      <c r="AB584" s="2" t="s">
        <v>114</v>
      </c>
      <c r="AC584" s="2"/>
      <c r="AD584" s="2"/>
      <c r="AE584" s="2"/>
    </row>
    <row r="585" ht="15.75" customHeight="1">
      <c r="A585" s="2">
        <v>585.0</v>
      </c>
      <c r="B585" s="2" t="s">
        <v>1948</v>
      </c>
      <c r="C585" s="2"/>
      <c r="D585" s="2" t="s">
        <v>99</v>
      </c>
      <c r="E585" s="2" t="s">
        <v>34</v>
      </c>
      <c r="F585" s="2" t="s">
        <v>35</v>
      </c>
      <c r="G585" s="2"/>
      <c r="H585" s="2" t="s">
        <v>34</v>
      </c>
      <c r="I585" s="2" t="s">
        <v>36</v>
      </c>
      <c r="J585" s="2" t="s">
        <v>1949</v>
      </c>
      <c r="K585" s="4" t="str">
        <f>HYPERLINK("https://openlibrary.org/works/OL4239708W","Abrir enlace")</f>
        <v>Abrir enlace</v>
      </c>
      <c r="L585" s="2" t="s">
        <v>1950</v>
      </c>
      <c r="M585" s="2" t="s">
        <v>1951</v>
      </c>
      <c r="N585" s="2" t="s">
        <v>45</v>
      </c>
      <c r="O585" s="2" t="s">
        <v>1952</v>
      </c>
      <c r="P585" s="4" t="str">
        <f>HYPERLINK("https://openlibrary.org/works/OL4239708W","Abrir enlace")</f>
        <v>Abrir enlace</v>
      </c>
      <c r="Q585" s="2" t="s">
        <v>1953</v>
      </c>
      <c r="R585" s="2"/>
      <c r="S585" s="2" t="s">
        <v>91</v>
      </c>
      <c r="T585" s="2" t="s">
        <v>1954</v>
      </c>
      <c r="U585" s="4" t="str">
        <f>HYPERLINK("https://www.academia.edu/34737852/Documentos_para_la_historia","Abrir enlace")</f>
        <v>Abrir enlace</v>
      </c>
      <c r="V585" s="2" t="s">
        <v>1955</v>
      </c>
      <c r="W585" s="2"/>
      <c r="X585" s="2" t="s">
        <v>91</v>
      </c>
      <c r="Y585" s="2" t="s">
        <v>1956</v>
      </c>
      <c r="Z585" s="4" t="str">
        <f>HYPERLINK("https://redhistoria.com/documentos-y-textos/","Abrir enlace")</f>
        <v>Abrir enlace</v>
      </c>
      <c r="AA585" s="2"/>
      <c r="AB585" s="2"/>
      <c r="AC585" s="2"/>
      <c r="AD585" s="2"/>
      <c r="AE585" s="2"/>
    </row>
    <row r="586" ht="15.75" customHeight="1">
      <c r="A586" s="2">
        <v>586.0</v>
      </c>
      <c r="B586" s="2" t="s">
        <v>1957</v>
      </c>
      <c r="C586" s="2" t="s">
        <v>1958</v>
      </c>
      <c r="D586" s="2" t="s">
        <v>33</v>
      </c>
      <c r="E586" s="2" t="s">
        <v>64</v>
      </c>
      <c r="F586" s="3" t="s">
        <v>35</v>
      </c>
      <c r="G586" s="2"/>
      <c r="H586" s="2" t="s">
        <v>64</v>
      </c>
      <c r="I586" s="2" t="s">
        <v>36</v>
      </c>
      <c r="J586" s="2" t="s">
        <v>37</v>
      </c>
      <c r="K586" s="4" t="str">
        <f>HYPERLINK("https://archive.org/details/bub_gb_xmQpj_iUUmwC","Abrir enlace")</f>
        <v>Abrir enlace</v>
      </c>
      <c r="L586" s="2" t="s">
        <v>1959</v>
      </c>
      <c r="M586" s="2"/>
      <c r="N586" s="2" t="s">
        <v>54</v>
      </c>
      <c r="O586" s="2"/>
      <c r="P586" s="4" t="str">
        <f>HYPERLINK("https://archive.org/details/bub_gb_xmQpj_iUUmwC","Abrir enlace")</f>
        <v>Abrir enlace</v>
      </c>
      <c r="Q586" s="2"/>
      <c r="R586" s="2"/>
      <c r="S586" s="2"/>
      <c r="T586" s="2"/>
      <c r="U586" s="2"/>
      <c r="V586" s="2"/>
      <c r="W586" s="2"/>
      <c r="X586" s="2"/>
      <c r="Y586" s="2"/>
      <c r="Z586" s="2"/>
      <c r="AA586" s="2" t="s">
        <v>60</v>
      </c>
      <c r="AB586" s="2" t="s">
        <v>67</v>
      </c>
      <c r="AC586" s="2"/>
      <c r="AD586" s="2"/>
      <c r="AE586" s="2"/>
    </row>
    <row r="587" ht="15.75" customHeight="1">
      <c r="A587" s="2">
        <v>587.0</v>
      </c>
      <c r="B587" s="2" t="s">
        <v>1960</v>
      </c>
      <c r="C587" s="2"/>
      <c r="D587" s="2" t="s">
        <v>49</v>
      </c>
      <c r="E587" s="2" t="s">
        <v>34</v>
      </c>
      <c r="F587" s="3" t="s">
        <v>35</v>
      </c>
      <c r="G587" s="2"/>
      <c r="H587" s="2" t="s">
        <v>34</v>
      </c>
      <c r="I587" s="2" t="s">
        <v>36</v>
      </c>
      <c r="J587" s="2" t="s">
        <v>37</v>
      </c>
      <c r="K587" s="4" t="str">
        <f t="shared" ref="K587:K592" si="63">HYPERLINK("https://archive.org/details/bub_gb_LJjKNLWXby8C","Abrir enlace")</f>
        <v>Abrir enlace</v>
      </c>
      <c r="L587" s="2" t="s">
        <v>1961</v>
      </c>
      <c r="M587" s="2"/>
      <c r="N587" s="2" t="s">
        <v>54</v>
      </c>
      <c r="O587" s="2"/>
      <c r="P587" s="4" t="str">
        <f t="shared" ref="P587:P592" si="64">HYPERLINK("https://archive.org/details/bub_gb_LJjKNLWXby8C","Abrir enlace")</f>
        <v>Abrir enlace</v>
      </c>
      <c r="Q587" s="2"/>
      <c r="R587" s="2"/>
      <c r="S587" s="2"/>
      <c r="T587" s="2"/>
      <c r="U587" s="2"/>
      <c r="V587" s="2"/>
      <c r="W587" s="2"/>
      <c r="X587" s="2"/>
      <c r="Y587" s="2"/>
      <c r="Z587" s="2"/>
      <c r="AA587" s="2" t="s">
        <v>51</v>
      </c>
      <c r="AB587" s="2" t="s">
        <v>41</v>
      </c>
      <c r="AC587" s="2"/>
      <c r="AD587" s="2"/>
      <c r="AE587" s="2"/>
    </row>
    <row r="588" ht="15.75" customHeight="1">
      <c r="A588" s="2">
        <v>588.0</v>
      </c>
      <c r="B588" s="2" t="s">
        <v>1960</v>
      </c>
      <c r="C588" s="2"/>
      <c r="D588" s="2" t="s">
        <v>49</v>
      </c>
      <c r="E588" s="2" t="s">
        <v>34</v>
      </c>
      <c r="F588" s="3" t="s">
        <v>35</v>
      </c>
      <c r="G588" s="2"/>
      <c r="H588" s="2" t="s">
        <v>34</v>
      </c>
      <c r="I588" s="2" t="s">
        <v>36</v>
      </c>
      <c r="J588" s="2" t="s">
        <v>37</v>
      </c>
      <c r="K588" s="4" t="str">
        <f t="shared" si="63"/>
        <v>Abrir enlace</v>
      </c>
      <c r="L588" s="2" t="s">
        <v>1961</v>
      </c>
      <c r="M588" s="2"/>
      <c r="N588" s="2" t="s">
        <v>54</v>
      </c>
      <c r="O588" s="2"/>
      <c r="P588" s="4" t="str">
        <f t="shared" si="64"/>
        <v>Abrir enlace</v>
      </c>
      <c r="Q588" s="2"/>
      <c r="R588" s="2"/>
      <c r="S588" s="2"/>
      <c r="T588" s="2"/>
      <c r="U588" s="2"/>
      <c r="V588" s="2"/>
      <c r="W588" s="2"/>
      <c r="X588" s="2"/>
      <c r="Y588" s="2"/>
      <c r="Z588" s="2"/>
      <c r="AA588" s="2" t="s">
        <v>51</v>
      </c>
      <c r="AB588" s="2" t="s">
        <v>41</v>
      </c>
      <c r="AC588" s="2"/>
      <c r="AD588" s="2"/>
      <c r="AE588" s="2"/>
    </row>
    <row r="589" ht="15.75" customHeight="1">
      <c r="A589" s="2">
        <v>589.0</v>
      </c>
      <c r="B589" s="2" t="s">
        <v>1960</v>
      </c>
      <c r="C589" s="2"/>
      <c r="D589" s="2" t="s">
        <v>49</v>
      </c>
      <c r="E589" s="2" t="s">
        <v>34</v>
      </c>
      <c r="F589" s="3" t="s">
        <v>35</v>
      </c>
      <c r="G589" s="2"/>
      <c r="H589" s="2" t="s">
        <v>34</v>
      </c>
      <c r="I589" s="2" t="s">
        <v>36</v>
      </c>
      <c r="J589" s="2" t="s">
        <v>37</v>
      </c>
      <c r="K589" s="4" t="str">
        <f t="shared" si="63"/>
        <v>Abrir enlace</v>
      </c>
      <c r="L589" s="2" t="s">
        <v>1961</v>
      </c>
      <c r="M589" s="2"/>
      <c r="N589" s="2" t="s">
        <v>54</v>
      </c>
      <c r="O589" s="2"/>
      <c r="P589" s="4" t="str">
        <f t="shared" si="64"/>
        <v>Abrir enlace</v>
      </c>
      <c r="Q589" s="2"/>
      <c r="R589" s="2"/>
      <c r="S589" s="2"/>
      <c r="T589" s="2"/>
      <c r="U589" s="2"/>
      <c r="V589" s="2"/>
      <c r="W589" s="2"/>
      <c r="X589" s="2"/>
      <c r="Y589" s="2"/>
      <c r="Z589" s="2"/>
      <c r="AA589" s="2" t="s">
        <v>51</v>
      </c>
      <c r="AB589" s="2" t="s">
        <v>41</v>
      </c>
      <c r="AC589" s="2"/>
      <c r="AD589" s="2"/>
      <c r="AE589" s="2"/>
    </row>
    <row r="590" ht="15.75" customHeight="1">
      <c r="A590" s="2">
        <v>590.0</v>
      </c>
      <c r="B590" s="2" t="s">
        <v>1960</v>
      </c>
      <c r="C590" s="2"/>
      <c r="D590" s="2" t="s">
        <v>49</v>
      </c>
      <c r="E590" s="2" t="s">
        <v>34</v>
      </c>
      <c r="F590" s="3" t="s">
        <v>35</v>
      </c>
      <c r="G590" s="2"/>
      <c r="H590" s="2" t="s">
        <v>34</v>
      </c>
      <c r="I590" s="2" t="s">
        <v>36</v>
      </c>
      <c r="J590" s="2" t="s">
        <v>37</v>
      </c>
      <c r="K590" s="4" t="str">
        <f t="shared" si="63"/>
        <v>Abrir enlace</v>
      </c>
      <c r="L590" s="2" t="s">
        <v>1961</v>
      </c>
      <c r="M590" s="2"/>
      <c r="N590" s="2" t="s">
        <v>54</v>
      </c>
      <c r="O590" s="2"/>
      <c r="P590" s="4" t="str">
        <f t="shared" si="64"/>
        <v>Abrir enlace</v>
      </c>
      <c r="Q590" s="2"/>
      <c r="R590" s="2"/>
      <c r="S590" s="2"/>
      <c r="T590" s="2"/>
      <c r="U590" s="2"/>
      <c r="V590" s="2"/>
      <c r="W590" s="2"/>
      <c r="X590" s="2"/>
      <c r="Y590" s="2"/>
      <c r="Z590" s="2"/>
      <c r="AA590" s="2" t="s">
        <v>51</v>
      </c>
      <c r="AB590" s="2" t="s">
        <v>41</v>
      </c>
      <c r="AC590" s="2"/>
      <c r="AD590" s="2"/>
      <c r="AE590" s="2"/>
    </row>
    <row r="591" ht="15.75" customHeight="1">
      <c r="A591" s="2">
        <v>591.0</v>
      </c>
      <c r="B591" s="2" t="s">
        <v>1960</v>
      </c>
      <c r="C591" s="2"/>
      <c r="D591" s="2" t="s">
        <v>49</v>
      </c>
      <c r="E591" s="2" t="s">
        <v>34</v>
      </c>
      <c r="F591" s="3" t="s">
        <v>35</v>
      </c>
      <c r="G591" s="2"/>
      <c r="H591" s="2" t="s">
        <v>34</v>
      </c>
      <c r="I591" s="2" t="s">
        <v>36</v>
      </c>
      <c r="J591" s="2" t="s">
        <v>37</v>
      </c>
      <c r="K591" s="4" t="str">
        <f t="shared" si="63"/>
        <v>Abrir enlace</v>
      </c>
      <c r="L591" s="2" t="s">
        <v>1961</v>
      </c>
      <c r="M591" s="2"/>
      <c r="N591" s="2" t="s">
        <v>54</v>
      </c>
      <c r="O591" s="2"/>
      <c r="P591" s="4" t="str">
        <f t="shared" si="64"/>
        <v>Abrir enlace</v>
      </c>
      <c r="Q591" s="2"/>
      <c r="R591" s="2"/>
      <c r="S591" s="2"/>
      <c r="T591" s="2"/>
      <c r="U591" s="2"/>
      <c r="V591" s="2"/>
      <c r="W591" s="2"/>
      <c r="X591" s="2"/>
      <c r="Y591" s="2"/>
      <c r="Z591" s="2"/>
      <c r="AA591" s="2" t="s">
        <v>51</v>
      </c>
      <c r="AB591" s="2" t="s">
        <v>41</v>
      </c>
      <c r="AC591" s="2"/>
      <c r="AD591" s="2"/>
      <c r="AE591" s="2"/>
    </row>
    <row r="592" ht="15.75" customHeight="1">
      <c r="A592" s="2">
        <v>592.0</v>
      </c>
      <c r="B592" s="2" t="s">
        <v>1960</v>
      </c>
      <c r="C592" s="2"/>
      <c r="D592" s="2" t="s">
        <v>49</v>
      </c>
      <c r="E592" s="2" t="s">
        <v>34</v>
      </c>
      <c r="F592" s="3" t="s">
        <v>35</v>
      </c>
      <c r="G592" s="2"/>
      <c r="H592" s="2" t="s">
        <v>34</v>
      </c>
      <c r="I592" s="2" t="s">
        <v>36</v>
      </c>
      <c r="J592" s="2" t="s">
        <v>37</v>
      </c>
      <c r="K592" s="4" t="str">
        <f t="shared" si="63"/>
        <v>Abrir enlace</v>
      </c>
      <c r="L592" s="2" t="s">
        <v>1961</v>
      </c>
      <c r="M592" s="2"/>
      <c r="N592" s="2" t="s">
        <v>54</v>
      </c>
      <c r="O592" s="2"/>
      <c r="P592" s="4" t="str">
        <f t="shared" si="64"/>
        <v>Abrir enlace</v>
      </c>
      <c r="Q592" s="2"/>
      <c r="R592" s="2"/>
      <c r="S592" s="2"/>
      <c r="T592" s="2"/>
      <c r="U592" s="2"/>
      <c r="V592" s="2"/>
      <c r="W592" s="2"/>
      <c r="X592" s="2"/>
      <c r="Y592" s="2"/>
      <c r="Z592" s="2"/>
      <c r="AA592" s="2" t="s">
        <v>51</v>
      </c>
      <c r="AB592" s="2" t="s">
        <v>41</v>
      </c>
      <c r="AC592" s="2"/>
      <c r="AD592" s="2"/>
      <c r="AE592" s="2"/>
    </row>
    <row r="593" ht="15.75" customHeight="1">
      <c r="A593" s="2">
        <v>593.0</v>
      </c>
      <c r="B593" s="2" t="s">
        <v>1962</v>
      </c>
      <c r="C593" s="2"/>
      <c r="D593" s="2" t="s">
        <v>49</v>
      </c>
      <c r="E593" s="2" t="s">
        <v>70</v>
      </c>
      <c r="F593" s="3" t="s">
        <v>35</v>
      </c>
      <c r="G593" s="2"/>
      <c r="H593" s="2" t="s">
        <v>70</v>
      </c>
      <c r="I593" s="2" t="s">
        <v>36</v>
      </c>
      <c r="J593" s="2" t="s">
        <v>37</v>
      </c>
      <c r="K593" s="4" t="str">
        <f t="shared" ref="K593:K596" si="65">HYPERLINK("https://openlibrary.org/works/OL11790273W","Abrir enlace")</f>
        <v>Abrir enlace</v>
      </c>
      <c r="L593" s="2" t="s">
        <v>1963</v>
      </c>
      <c r="M593" s="2"/>
      <c r="N593" s="2" t="s">
        <v>45</v>
      </c>
      <c r="O593" s="2"/>
      <c r="P593" s="4" t="str">
        <f t="shared" ref="P593:P596" si="66">HYPERLINK("https://openlibrary.org/works/OL11790273W","Abrir enlace")</f>
        <v>Abrir enlace</v>
      </c>
      <c r="Q593" s="2"/>
      <c r="R593" s="2"/>
      <c r="S593" s="2"/>
      <c r="T593" s="2"/>
      <c r="U593" s="2"/>
      <c r="V593" s="2"/>
      <c r="W593" s="2"/>
      <c r="X593" s="2"/>
      <c r="Y593" s="2"/>
      <c r="Z593" s="2"/>
      <c r="AA593" s="2" t="s">
        <v>51</v>
      </c>
      <c r="AB593" s="2" t="s">
        <v>72</v>
      </c>
      <c r="AC593" s="2"/>
      <c r="AD593" s="2"/>
      <c r="AE593" s="2"/>
    </row>
    <row r="594" ht="15.75" customHeight="1">
      <c r="A594" s="2">
        <v>594.0</v>
      </c>
      <c r="B594" s="2" t="s">
        <v>1962</v>
      </c>
      <c r="C594" s="2"/>
      <c r="D594" s="2" t="s">
        <v>49</v>
      </c>
      <c r="E594" s="2" t="s">
        <v>70</v>
      </c>
      <c r="F594" s="3" t="s">
        <v>35</v>
      </c>
      <c r="G594" s="2"/>
      <c r="H594" s="2" t="s">
        <v>70</v>
      </c>
      <c r="I594" s="2" t="s">
        <v>36</v>
      </c>
      <c r="J594" s="2" t="s">
        <v>37</v>
      </c>
      <c r="K594" s="4" t="str">
        <f t="shared" si="65"/>
        <v>Abrir enlace</v>
      </c>
      <c r="L594" s="2" t="s">
        <v>1963</v>
      </c>
      <c r="M594" s="2"/>
      <c r="N594" s="2" t="s">
        <v>45</v>
      </c>
      <c r="O594" s="2"/>
      <c r="P594" s="4" t="str">
        <f t="shared" si="66"/>
        <v>Abrir enlace</v>
      </c>
      <c r="Q594" s="2"/>
      <c r="R594" s="2"/>
      <c r="S594" s="2"/>
      <c r="T594" s="2"/>
      <c r="U594" s="2"/>
      <c r="V594" s="2"/>
      <c r="W594" s="2"/>
      <c r="X594" s="2"/>
      <c r="Y594" s="2"/>
      <c r="Z594" s="2"/>
      <c r="AA594" s="2" t="s">
        <v>51</v>
      </c>
      <c r="AB594" s="2" t="s">
        <v>72</v>
      </c>
      <c r="AC594" s="2"/>
      <c r="AD594" s="2"/>
      <c r="AE594" s="2"/>
    </row>
    <row r="595" ht="15.75" customHeight="1">
      <c r="A595" s="2">
        <v>595.0</v>
      </c>
      <c r="B595" s="2" t="s">
        <v>1962</v>
      </c>
      <c r="C595" s="2"/>
      <c r="D595" s="2" t="s">
        <v>49</v>
      </c>
      <c r="E595" s="2" t="s">
        <v>70</v>
      </c>
      <c r="F595" s="3" t="s">
        <v>35</v>
      </c>
      <c r="G595" s="2"/>
      <c r="H595" s="2" t="s">
        <v>70</v>
      </c>
      <c r="I595" s="2" t="s">
        <v>36</v>
      </c>
      <c r="J595" s="2" t="s">
        <v>37</v>
      </c>
      <c r="K595" s="4" t="str">
        <f t="shared" si="65"/>
        <v>Abrir enlace</v>
      </c>
      <c r="L595" s="2" t="s">
        <v>1963</v>
      </c>
      <c r="M595" s="2"/>
      <c r="N595" s="2" t="s">
        <v>45</v>
      </c>
      <c r="O595" s="2"/>
      <c r="P595" s="4" t="str">
        <f t="shared" si="66"/>
        <v>Abrir enlace</v>
      </c>
      <c r="Q595" s="2"/>
      <c r="R595" s="2"/>
      <c r="S595" s="2"/>
      <c r="T595" s="2"/>
      <c r="U595" s="2"/>
      <c r="V595" s="2"/>
      <c r="W595" s="2"/>
      <c r="X595" s="2"/>
      <c r="Y595" s="2"/>
      <c r="Z595" s="2"/>
      <c r="AA595" s="2" t="s">
        <v>51</v>
      </c>
      <c r="AB595" s="2" t="s">
        <v>72</v>
      </c>
      <c r="AC595" s="2"/>
      <c r="AD595" s="2"/>
      <c r="AE595" s="2"/>
    </row>
    <row r="596" ht="15.75" customHeight="1">
      <c r="A596" s="2">
        <v>596.0</v>
      </c>
      <c r="B596" s="2" t="s">
        <v>1962</v>
      </c>
      <c r="C596" s="2"/>
      <c r="D596" s="2" t="s">
        <v>49</v>
      </c>
      <c r="E596" s="2" t="s">
        <v>70</v>
      </c>
      <c r="F596" s="3" t="s">
        <v>35</v>
      </c>
      <c r="G596" s="2"/>
      <c r="H596" s="2" t="s">
        <v>70</v>
      </c>
      <c r="I596" s="2" t="s">
        <v>36</v>
      </c>
      <c r="J596" s="2" t="s">
        <v>37</v>
      </c>
      <c r="K596" s="4" t="str">
        <f t="shared" si="65"/>
        <v>Abrir enlace</v>
      </c>
      <c r="L596" s="2" t="s">
        <v>1963</v>
      </c>
      <c r="M596" s="2"/>
      <c r="N596" s="2" t="s">
        <v>45</v>
      </c>
      <c r="O596" s="2"/>
      <c r="P596" s="4" t="str">
        <f t="shared" si="66"/>
        <v>Abrir enlace</v>
      </c>
      <c r="Q596" s="2"/>
      <c r="R596" s="2"/>
      <c r="S596" s="2"/>
      <c r="T596" s="2"/>
      <c r="U596" s="2"/>
      <c r="V596" s="2"/>
      <c r="W596" s="2"/>
      <c r="X596" s="2"/>
      <c r="Y596" s="2"/>
      <c r="Z596" s="2"/>
      <c r="AA596" s="2" t="s">
        <v>51</v>
      </c>
      <c r="AB596" s="2" t="s">
        <v>72</v>
      </c>
      <c r="AC596" s="2"/>
      <c r="AD596" s="2"/>
      <c r="AE596" s="2"/>
    </row>
    <row r="597" ht="15.75" customHeight="1">
      <c r="A597" s="2">
        <v>597.0</v>
      </c>
      <c r="B597" s="2" t="s">
        <v>1964</v>
      </c>
      <c r="C597" s="2" t="s">
        <v>1965</v>
      </c>
      <c r="D597" s="2" t="s">
        <v>33</v>
      </c>
      <c r="E597" s="2" t="s">
        <v>34</v>
      </c>
      <c r="F597" s="3" t="s">
        <v>35</v>
      </c>
      <c r="G597" s="2"/>
      <c r="H597" s="2" t="s">
        <v>34</v>
      </c>
      <c r="I597" s="2" t="s">
        <v>36</v>
      </c>
      <c r="J597" s="2" t="s">
        <v>37</v>
      </c>
      <c r="K597" s="4" t="str">
        <f t="shared" ref="K597:K598" si="67">HYPERLINK("https://openlibrary.org/works/OL44320913W","Abrir enlace")</f>
        <v>Abrir enlace</v>
      </c>
      <c r="L597" s="2" t="s">
        <v>1966</v>
      </c>
      <c r="M597" s="2"/>
      <c r="N597" s="2" t="s">
        <v>45</v>
      </c>
      <c r="O597" s="2"/>
      <c r="P597" s="4" t="str">
        <f t="shared" ref="P597:P598" si="68">HYPERLINK("https://openlibrary.org/works/OL44320913W","Abrir enlace")</f>
        <v>Abrir enlace</v>
      </c>
      <c r="Q597" s="2"/>
      <c r="R597" s="2"/>
      <c r="S597" s="2"/>
      <c r="T597" s="2"/>
      <c r="U597" s="2"/>
      <c r="V597" s="2"/>
      <c r="W597" s="2"/>
      <c r="X597" s="2"/>
      <c r="Y597" s="2"/>
      <c r="Z597" s="2"/>
      <c r="AA597" s="2" t="s">
        <v>60</v>
      </c>
      <c r="AB597" s="2" t="s">
        <v>41</v>
      </c>
      <c r="AC597" s="2"/>
      <c r="AD597" s="2"/>
      <c r="AE597" s="2"/>
    </row>
    <row r="598" ht="15.75" customHeight="1">
      <c r="A598" s="2">
        <v>598.0</v>
      </c>
      <c r="B598" s="2" t="s">
        <v>1964</v>
      </c>
      <c r="C598" s="2" t="s">
        <v>1965</v>
      </c>
      <c r="D598" s="2" t="s">
        <v>33</v>
      </c>
      <c r="E598" s="2" t="s">
        <v>34</v>
      </c>
      <c r="F598" s="3" t="s">
        <v>35</v>
      </c>
      <c r="G598" s="2"/>
      <c r="H598" s="2" t="s">
        <v>34</v>
      </c>
      <c r="I598" s="2" t="s">
        <v>36</v>
      </c>
      <c r="J598" s="2" t="s">
        <v>37</v>
      </c>
      <c r="K598" s="4" t="str">
        <f t="shared" si="67"/>
        <v>Abrir enlace</v>
      </c>
      <c r="L598" s="2" t="s">
        <v>1966</v>
      </c>
      <c r="M598" s="2"/>
      <c r="N598" s="2" t="s">
        <v>45</v>
      </c>
      <c r="O598" s="2"/>
      <c r="P598" s="4" t="str">
        <f t="shared" si="68"/>
        <v>Abrir enlace</v>
      </c>
      <c r="Q598" s="2"/>
      <c r="R598" s="2"/>
      <c r="S598" s="2"/>
      <c r="T598" s="2"/>
      <c r="U598" s="2"/>
      <c r="V598" s="2"/>
      <c r="W598" s="2"/>
      <c r="X598" s="2"/>
      <c r="Y598" s="2"/>
      <c r="Z598" s="2"/>
      <c r="AA598" s="2" t="s">
        <v>60</v>
      </c>
      <c r="AB598" s="2" t="s">
        <v>41</v>
      </c>
      <c r="AC598" s="2"/>
      <c r="AD598" s="2"/>
      <c r="AE598" s="2"/>
    </row>
    <row r="599" ht="15.75" customHeight="1">
      <c r="A599" s="2">
        <v>599.0</v>
      </c>
      <c r="B599" s="2" t="s">
        <v>1967</v>
      </c>
      <c r="C599" s="2" t="s">
        <v>1968</v>
      </c>
      <c r="D599" s="2" t="s">
        <v>33</v>
      </c>
      <c r="E599" s="2" t="s">
        <v>64</v>
      </c>
      <c r="F599" s="2" t="s">
        <v>35</v>
      </c>
      <c r="G599" s="2"/>
      <c r="H599" s="2" t="s">
        <v>64</v>
      </c>
      <c r="I599" s="2" t="s">
        <v>36</v>
      </c>
      <c r="J599" s="2" t="s">
        <v>1969</v>
      </c>
      <c r="K599" s="4" t="str">
        <f>HYPERLINK("https://books.google.com/books/about/Dan_Georgii_Morhofii_De_legendis_imitand.html?id=RrcTAAAAQAAJ","Abrir enlace")</f>
        <v>Abrir enlace</v>
      </c>
      <c r="L599" s="2" t="s">
        <v>1970</v>
      </c>
      <c r="M599" s="2"/>
      <c r="N599" s="2" t="s">
        <v>91</v>
      </c>
      <c r="O599" s="2" t="s">
        <v>1490</v>
      </c>
      <c r="P599" s="4" t="str">
        <f>HYPERLINK("https://books.google.com/books/about/Dan_Georgii_Morhofii_De_legendis_imitand.html?id=RrcTAAAAQAAJ","Abrir enlace")</f>
        <v>Abrir enlace</v>
      </c>
      <c r="Q599" s="2" t="s">
        <v>1971</v>
      </c>
      <c r="R599" s="2"/>
      <c r="S599" s="2" t="s">
        <v>91</v>
      </c>
      <c r="T599" s="2" t="s">
        <v>1972</v>
      </c>
      <c r="U599" s="4" t="str">
        <f>HYPERLINK("https://search.library.yale.edu/catalog/1313367/cite_view","Abrir enlace")</f>
        <v>Abrir enlace</v>
      </c>
      <c r="V599" s="2" t="s">
        <v>1973</v>
      </c>
      <c r="W599" s="2"/>
      <c r="X599" s="2" t="s">
        <v>91</v>
      </c>
      <c r="Y599" s="2" t="s">
        <v>1974</v>
      </c>
      <c r="Z599" s="4" t="str">
        <f>HYPERLINK("https://www.persee.fr/authority/850467","Abrir enlace")</f>
        <v>Abrir enlace</v>
      </c>
      <c r="AA599" s="2"/>
      <c r="AB599" s="2"/>
      <c r="AC599" s="2"/>
      <c r="AD599" s="2"/>
      <c r="AE599" s="2"/>
    </row>
    <row r="600" ht="15.75" customHeight="1">
      <c r="A600" s="2">
        <v>600.0</v>
      </c>
      <c r="B600" s="2" t="s">
        <v>1975</v>
      </c>
      <c r="C600" s="2" t="s">
        <v>1976</v>
      </c>
      <c r="D600" s="2" t="s">
        <v>33</v>
      </c>
      <c r="E600" s="2" t="s">
        <v>34</v>
      </c>
      <c r="F600" s="3" t="s">
        <v>35</v>
      </c>
      <c r="G600" s="2"/>
      <c r="H600" s="2" t="s">
        <v>34</v>
      </c>
      <c r="I600" s="2" t="s">
        <v>36</v>
      </c>
      <c r="J600" s="2" t="s">
        <v>37</v>
      </c>
      <c r="K600" s="4" t="str">
        <f t="shared" ref="K600:K601" si="69">HYPERLINK("https://archive.org/details/voyageenorient00lamagoog","Abrir enlace")</f>
        <v>Abrir enlace</v>
      </c>
      <c r="L600" s="2" t="s">
        <v>1977</v>
      </c>
      <c r="M600" s="2"/>
      <c r="N600" s="2" t="s">
        <v>54</v>
      </c>
      <c r="O600" s="2"/>
      <c r="P600" s="4" t="str">
        <f t="shared" ref="P600:P601" si="70">HYPERLINK("https://archive.org/details/voyageenorient00lamagoog","Abrir enlace")</f>
        <v>Abrir enlace</v>
      </c>
      <c r="Q600" s="2"/>
      <c r="R600" s="2"/>
      <c r="S600" s="2"/>
      <c r="T600" s="2"/>
      <c r="U600" s="2"/>
      <c r="V600" s="2"/>
      <c r="W600" s="2"/>
      <c r="X600" s="2"/>
      <c r="Y600" s="2"/>
      <c r="Z600" s="2"/>
      <c r="AA600" s="2" t="s">
        <v>40</v>
      </c>
      <c r="AB600" s="2" t="s">
        <v>41</v>
      </c>
      <c r="AC600" s="2"/>
      <c r="AD600" s="2"/>
      <c r="AE600" s="2"/>
    </row>
    <row r="601" ht="15.75" customHeight="1">
      <c r="A601" s="2">
        <v>601.0</v>
      </c>
      <c r="B601" s="2" t="s">
        <v>1975</v>
      </c>
      <c r="C601" s="2" t="s">
        <v>1976</v>
      </c>
      <c r="D601" s="2" t="s">
        <v>33</v>
      </c>
      <c r="E601" s="2" t="s">
        <v>34</v>
      </c>
      <c r="F601" s="3" t="s">
        <v>35</v>
      </c>
      <c r="G601" s="2"/>
      <c r="H601" s="2" t="s">
        <v>34</v>
      </c>
      <c r="I601" s="2" t="s">
        <v>36</v>
      </c>
      <c r="J601" s="2" t="s">
        <v>37</v>
      </c>
      <c r="K601" s="4" t="str">
        <f t="shared" si="69"/>
        <v>Abrir enlace</v>
      </c>
      <c r="L601" s="2" t="s">
        <v>1977</v>
      </c>
      <c r="M601" s="2"/>
      <c r="N601" s="2" t="s">
        <v>54</v>
      </c>
      <c r="O601" s="2"/>
      <c r="P601" s="4" t="str">
        <f t="shared" si="70"/>
        <v>Abrir enlace</v>
      </c>
      <c r="Q601" s="2"/>
      <c r="R601" s="2"/>
      <c r="S601" s="2"/>
      <c r="T601" s="2"/>
      <c r="U601" s="2"/>
      <c r="V601" s="2"/>
      <c r="W601" s="2"/>
      <c r="X601" s="2"/>
      <c r="Y601" s="2"/>
      <c r="Z601" s="2"/>
      <c r="AA601" s="2" t="s">
        <v>40</v>
      </c>
      <c r="AB601" s="2" t="s">
        <v>41</v>
      </c>
      <c r="AC601" s="2"/>
      <c r="AD601" s="2"/>
      <c r="AE601" s="2"/>
    </row>
    <row r="602" ht="15.75" customHeight="1">
      <c r="A602" s="2">
        <v>602.0</v>
      </c>
      <c r="B602" s="2" t="s">
        <v>1978</v>
      </c>
      <c r="C602" s="2" t="s">
        <v>77</v>
      </c>
      <c r="D602" s="2" t="s">
        <v>33</v>
      </c>
      <c r="E602" s="2" t="s">
        <v>64</v>
      </c>
      <c r="F602" s="2" t="s">
        <v>35</v>
      </c>
      <c r="G602" s="2"/>
      <c r="H602" s="2" t="s">
        <v>64</v>
      </c>
      <c r="I602" s="2" t="s">
        <v>36</v>
      </c>
      <c r="J602" s="2" t="s">
        <v>1979</v>
      </c>
      <c r="K602" s="4" t="str">
        <f>HYPERLINK("https://books.google.com/books/about/Las_Aventuras_De_Nigel.html?id=diuL0QEACAAJ","Abrir enlace")</f>
        <v>Abrir enlace</v>
      </c>
      <c r="L602" s="2" t="s">
        <v>1980</v>
      </c>
      <c r="M602" s="2"/>
      <c r="N602" s="2" t="s">
        <v>91</v>
      </c>
      <c r="O602" s="2" t="s">
        <v>832</v>
      </c>
      <c r="P602" s="4" t="str">
        <f>HYPERLINK("https://books.google.com/books/about/Las_Aventuras_De_Nigel.html?id=diuL0QEACAAJ","Abrir enlace")</f>
        <v>Abrir enlace</v>
      </c>
      <c r="Q602" s="2" t="s">
        <v>1981</v>
      </c>
      <c r="R602" s="2"/>
      <c r="S602" s="2" t="s">
        <v>91</v>
      </c>
      <c r="T602" s="2" t="s">
        <v>1982</v>
      </c>
      <c r="U602" s="4" t="str">
        <f>HYPERLINK("https://www.amazon.com/Aventuras-Nigel-Spanish-Walter-Scott/dp/1294227440","Abrir enlace")</f>
        <v>Abrir enlace</v>
      </c>
      <c r="V602" s="2" t="s">
        <v>1983</v>
      </c>
      <c r="W602" s="2"/>
      <c r="X602" s="2" t="s">
        <v>91</v>
      </c>
      <c r="Y602" s="2" t="s">
        <v>1984</v>
      </c>
      <c r="Z602" s="4" t="str">
        <f>HYPERLINK("https://archive.org/details/lesaventuresdeni00scot","Abrir enlace")</f>
        <v>Abrir enlace</v>
      </c>
      <c r="AA602" s="2"/>
      <c r="AB602" s="2"/>
      <c r="AC602" s="2"/>
      <c r="AD602" s="2"/>
      <c r="AE602" s="2"/>
    </row>
    <row r="603" ht="15.75" customHeight="1">
      <c r="A603" s="2">
        <v>603.0</v>
      </c>
      <c r="B603" s="2" t="s">
        <v>1978</v>
      </c>
      <c r="C603" s="2" t="s">
        <v>77</v>
      </c>
      <c r="D603" s="2" t="s">
        <v>33</v>
      </c>
      <c r="E603" s="2" t="s">
        <v>64</v>
      </c>
      <c r="F603" s="2" t="s">
        <v>35</v>
      </c>
      <c r="G603" s="2"/>
      <c r="H603" s="2" t="s">
        <v>64</v>
      </c>
      <c r="I603" s="2" t="s">
        <v>36</v>
      </c>
      <c r="J603" s="2" t="s">
        <v>1979</v>
      </c>
      <c r="K603" s="2" t="s">
        <v>757</v>
      </c>
      <c r="L603" s="2" t="s">
        <v>1980</v>
      </c>
      <c r="M603" s="2"/>
      <c r="N603" s="2" t="s">
        <v>91</v>
      </c>
      <c r="O603" s="2" t="s">
        <v>832</v>
      </c>
      <c r="P603" s="2" t="s">
        <v>757</v>
      </c>
      <c r="Q603" s="2" t="s">
        <v>1981</v>
      </c>
      <c r="R603" s="2"/>
      <c r="S603" s="2" t="s">
        <v>91</v>
      </c>
      <c r="T603" s="2" t="s">
        <v>1982</v>
      </c>
      <c r="U603" s="2" t="s">
        <v>757</v>
      </c>
      <c r="V603" s="2" t="s">
        <v>1983</v>
      </c>
      <c r="W603" s="2"/>
      <c r="X603" s="2" t="s">
        <v>91</v>
      </c>
      <c r="Y603" s="2" t="s">
        <v>1984</v>
      </c>
      <c r="Z603" s="2" t="s">
        <v>757</v>
      </c>
      <c r="AA603" s="2"/>
      <c r="AB603" s="2"/>
      <c r="AC603" s="2"/>
      <c r="AD603" s="2"/>
      <c r="AE603" s="2"/>
    </row>
    <row r="604" ht="15.75" customHeight="1">
      <c r="A604" s="2">
        <v>604.0</v>
      </c>
      <c r="B604" s="2" t="s">
        <v>1978</v>
      </c>
      <c r="C604" s="2" t="s">
        <v>77</v>
      </c>
      <c r="D604" s="2" t="s">
        <v>33</v>
      </c>
      <c r="E604" s="2" t="s">
        <v>64</v>
      </c>
      <c r="F604" s="2" t="s">
        <v>35</v>
      </c>
      <c r="G604" s="2"/>
      <c r="H604" s="2" t="s">
        <v>64</v>
      </c>
      <c r="I604" s="2" t="s">
        <v>36</v>
      </c>
      <c r="J604" s="2" t="s">
        <v>1979</v>
      </c>
      <c r="K604" s="2" t="s">
        <v>757</v>
      </c>
      <c r="L604" s="2" t="s">
        <v>1980</v>
      </c>
      <c r="M604" s="2"/>
      <c r="N604" s="2" t="s">
        <v>91</v>
      </c>
      <c r="O604" s="2" t="s">
        <v>832</v>
      </c>
      <c r="P604" s="2" t="s">
        <v>757</v>
      </c>
      <c r="Q604" s="2" t="s">
        <v>1981</v>
      </c>
      <c r="R604" s="2"/>
      <c r="S604" s="2" t="s">
        <v>91</v>
      </c>
      <c r="T604" s="2" t="s">
        <v>1982</v>
      </c>
      <c r="U604" s="2" t="s">
        <v>757</v>
      </c>
      <c r="V604" s="2" t="s">
        <v>1983</v>
      </c>
      <c r="W604" s="2"/>
      <c r="X604" s="2" t="s">
        <v>91</v>
      </c>
      <c r="Y604" s="2" t="s">
        <v>1984</v>
      </c>
      <c r="Z604" s="2" t="s">
        <v>757</v>
      </c>
      <c r="AA604" s="2"/>
      <c r="AB604" s="2"/>
      <c r="AC604" s="2"/>
      <c r="AD604" s="2"/>
      <c r="AE604" s="2"/>
    </row>
    <row r="605" ht="15.75" customHeight="1">
      <c r="A605" s="2">
        <v>605.0</v>
      </c>
      <c r="B605" s="2" t="s">
        <v>1985</v>
      </c>
      <c r="C605" s="2" t="s">
        <v>1986</v>
      </c>
      <c r="D605" s="2" t="s">
        <v>33</v>
      </c>
      <c r="E605" s="2" t="s">
        <v>34</v>
      </c>
      <c r="F605" s="3" t="s">
        <v>35</v>
      </c>
      <c r="G605" s="2"/>
      <c r="H605" s="2" t="s">
        <v>34</v>
      </c>
      <c r="I605" s="2" t="s">
        <v>36</v>
      </c>
      <c r="J605" s="2" t="s">
        <v>37</v>
      </c>
      <c r="K605" s="4" t="str">
        <f>HYPERLINK("https://openlibrary.org/works/OL44652397W","Abrir enlace")</f>
        <v>Abrir enlace</v>
      </c>
      <c r="L605" s="2" t="s">
        <v>1985</v>
      </c>
      <c r="M605" s="2"/>
      <c r="N605" s="2" t="s">
        <v>45</v>
      </c>
      <c r="O605" s="2"/>
      <c r="P605" s="4" t="str">
        <f>HYPERLINK("https://openlibrary.org/works/OL44652397W","Abrir enlace")</f>
        <v>Abrir enlace</v>
      </c>
      <c r="Q605" s="2"/>
      <c r="R605" s="2"/>
      <c r="S605" s="2"/>
      <c r="T605" s="2"/>
      <c r="U605" s="2"/>
      <c r="V605" s="2"/>
      <c r="W605" s="2"/>
      <c r="X605" s="2"/>
      <c r="Y605" s="2"/>
      <c r="Z605" s="2"/>
      <c r="AA605" s="2" t="s">
        <v>51</v>
      </c>
      <c r="AB605" s="2" t="s">
        <v>41</v>
      </c>
      <c r="AC605" s="2"/>
      <c r="AD605" s="2"/>
      <c r="AE605" s="2"/>
    </row>
    <row r="606" ht="15.75" customHeight="1">
      <c r="A606" s="2">
        <v>606.0</v>
      </c>
      <c r="B606" s="2" t="s">
        <v>1987</v>
      </c>
      <c r="C606" s="2" t="s">
        <v>1988</v>
      </c>
      <c r="D606" s="2" t="s">
        <v>33</v>
      </c>
      <c r="E606" s="2" t="s">
        <v>70</v>
      </c>
      <c r="F606" s="3" t="s">
        <v>35</v>
      </c>
      <c r="G606" s="2"/>
      <c r="H606" s="2" t="s">
        <v>70</v>
      </c>
      <c r="I606" s="2" t="s">
        <v>36</v>
      </c>
      <c r="J606" s="2" t="s">
        <v>1989</v>
      </c>
      <c r="K606" s="4" t="str">
        <f t="shared" ref="K606:K609" si="71">HYPERLINK("https://archive.org/details/oeuvresdeplaton06platgoog","Abrir enlace")</f>
        <v>Abrir enlace</v>
      </c>
      <c r="L606" s="2" t="s">
        <v>1990</v>
      </c>
      <c r="M606" s="2"/>
      <c r="N606" s="2" t="s">
        <v>54</v>
      </c>
      <c r="O606" s="2"/>
      <c r="P606" s="4" t="str">
        <f t="shared" ref="P606:P609" si="72">HYPERLINK("https://archive.org/details/oeuvresdeplaton06platgoog","Abrir enlace")</f>
        <v>Abrir enlace</v>
      </c>
      <c r="Q606" s="2"/>
      <c r="R606" s="2"/>
      <c r="S606" s="2"/>
      <c r="T606" s="2"/>
      <c r="U606" s="2"/>
      <c r="V606" s="2"/>
      <c r="W606" s="2"/>
      <c r="X606" s="2"/>
      <c r="Y606" s="2"/>
      <c r="Z606" s="2"/>
      <c r="AA606" s="2" t="s">
        <v>40</v>
      </c>
      <c r="AB606" s="2" t="s">
        <v>1991</v>
      </c>
      <c r="AC606" s="2"/>
      <c r="AD606" s="2"/>
      <c r="AE606" s="2"/>
    </row>
    <row r="607" ht="15.75" customHeight="1">
      <c r="A607" s="2">
        <v>607.0</v>
      </c>
      <c r="B607" s="2" t="s">
        <v>1987</v>
      </c>
      <c r="C607" s="2" t="s">
        <v>1988</v>
      </c>
      <c r="D607" s="2" t="s">
        <v>33</v>
      </c>
      <c r="E607" s="2" t="s">
        <v>70</v>
      </c>
      <c r="F607" s="3" t="s">
        <v>35</v>
      </c>
      <c r="G607" s="2"/>
      <c r="H607" s="2" t="s">
        <v>70</v>
      </c>
      <c r="I607" s="2" t="s">
        <v>36</v>
      </c>
      <c r="J607" s="2" t="s">
        <v>37</v>
      </c>
      <c r="K607" s="4" t="str">
        <f t="shared" si="71"/>
        <v>Abrir enlace</v>
      </c>
      <c r="L607" s="2" t="s">
        <v>1990</v>
      </c>
      <c r="M607" s="2"/>
      <c r="N607" s="2" t="s">
        <v>54</v>
      </c>
      <c r="O607" s="2"/>
      <c r="P607" s="4" t="str">
        <f t="shared" si="72"/>
        <v>Abrir enlace</v>
      </c>
      <c r="Q607" s="2"/>
      <c r="R607" s="2"/>
      <c r="S607" s="2"/>
      <c r="T607" s="2"/>
      <c r="U607" s="2"/>
      <c r="V607" s="2"/>
      <c r="W607" s="2"/>
      <c r="X607" s="2"/>
      <c r="Y607" s="2"/>
      <c r="Z607" s="2"/>
      <c r="AA607" s="2" t="s">
        <v>40</v>
      </c>
      <c r="AB607" s="2" t="s">
        <v>67</v>
      </c>
      <c r="AC607" s="2"/>
      <c r="AD607" s="2"/>
      <c r="AE607" s="2"/>
    </row>
    <row r="608" ht="15.75" customHeight="1">
      <c r="A608" s="2">
        <v>608.0</v>
      </c>
      <c r="B608" s="2" t="s">
        <v>1987</v>
      </c>
      <c r="C608" s="2" t="s">
        <v>1988</v>
      </c>
      <c r="D608" s="2" t="s">
        <v>33</v>
      </c>
      <c r="E608" s="2" t="s">
        <v>70</v>
      </c>
      <c r="F608" s="3" t="s">
        <v>35</v>
      </c>
      <c r="G608" s="2"/>
      <c r="H608" s="2" t="s">
        <v>70</v>
      </c>
      <c r="I608" s="2" t="s">
        <v>36</v>
      </c>
      <c r="J608" s="2" t="s">
        <v>37</v>
      </c>
      <c r="K608" s="4" t="str">
        <f t="shared" si="71"/>
        <v>Abrir enlace</v>
      </c>
      <c r="L608" s="2" t="s">
        <v>1990</v>
      </c>
      <c r="M608" s="2"/>
      <c r="N608" s="2" t="s">
        <v>54</v>
      </c>
      <c r="O608" s="2"/>
      <c r="P608" s="4" t="str">
        <f t="shared" si="72"/>
        <v>Abrir enlace</v>
      </c>
      <c r="Q608" s="2"/>
      <c r="R608" s="2"/>
      <c r="S608" s="2"/>
      <c r="T608" s="2"/>
      <c r="U608" s="2"/>
      <c r="V608" s="2"/>
      <c r="W608" s="2"/>
      <c r="X608" s="2"/>
      <c r="Y608" s="2"/>
      <c r="Z608" s="2"/>
      <c r="AA608" s="2" t="s">
        <v>40</v>
      </c>
      <c r="AB608" s="2" t="s">
        <v>67</v>
      </c>
      <c r="AC608" s="2"/>
      <c r="AD608" s="2"/>
      <c r="AE608" s="2"/>
    </row>
    <row r="609" ht="15.75" customHeight="1">
      <c r="A609" s="2">
        <v>609.0</v>
      </c>
      <c r="B609" s="2" t="s">
        <v>1987</v>
      </c>
      <c r="C609" s="2" t="s">
        <v>1988</v>
      </c>
      <c r="D609" s="2" t="s">
        <v>33</v>
      </c>
      <c r="E609" s="2" t="s">
        <v>70</v>
      </c>
      <c r="F609" s="3" t="s">
        <v>35</v>
      </c>
      <c r="G609" s="2"/>
      <c r="H609" s="2" t="s">
        <v>70</v>
      </c>
      <c r="I609" s="2" t="s">
        <v>36</v>
      </c>
      <c r="J609" s="2" t="s">
        <v>37</v>
      </c>
      <c r="K609" s="4" t="str">
        <f t="shared" si="71"/>
        <v>Abrir enlace</v>
      </c>
      <c r="L609" s="2" t="s">
        <v>1990</v>
      </c>
      <c r="M609" s="2"/>
      <c r="N609" s="2" t="s">
        <v>54</v>
      </c>
      <c r="O609" s="2"/>
      <c r="P609" s="4" t="str">
        <f t="shared" si="72"/>
        <v>Abrir enlace</v>
      </c>
      <c r="Q609" s="2"/>
      <c r="R609" s="2"/>
      <c r="S609" s="2"/>
      <c r="T609" s="2"/>
      <c r="U609" s="2"/>
      <c r="V609" s="2"/>
      <c r="W609" s="2"/>
      <c r="X609" s="2"/>
      <c r="Y609" s="2"/>
      <c r="Z609" s="2"/>
      <c r="AA609" s="2" t="s">
        <v>40</v>
      </c>
      <c r="AB609" s="2" t="s">
        <v>67</v>
      </c>
      <c r="AC609" s="2"/>
      <c r="AD609" s="2"/>
      <c r="AE609" s="2"/>
    </row>
    <row r="610" ht="15.75" customHeight="1">
      <c r="A610" s="2">
        <v>610.0</v>
      </c>
      <c r="B610" s="2" t="s">
        <v>1992</v>
      </c>
      <c r="C610" s="2"/>
      <c r="D610" s="2" t="s">
        <v>165</v>
      </c>
      <c r="E610" s="2" t="s">
        <v>64</v>
      </c>
      <c r="F610" s="2" t="s">
        <v>174</v>
      </c>
      <c r="G610" s="2" t="s">
        <v>1993</v>
      </c>
      <c r="H610" s="2" t="s">
        <v>34</v>
      </c>
      <c r="I610" s="2" t="s">
        <v>36</v>
      </c>
      <c r="J610" s="2" t="s">
        <v>37</v>
      </c>
      <c r="K610" s="4" t="str">
        <f t="shared" ref="K610:K611" si="73">HYPERLINK("https://archive.org/details/manualedellalett03torruoft","Abrir enlace")</f>
        <v>Abrir enlace</v>
      </c>
      <c r="L610" s="2" t="s">
        <v>1994</v>
      </c>
      <c r="M610" s="2"/>
      <c r="N610" s="2" t="s">
        <v>54</v>
      </c>
      <c r="O610" s="2"/>
      <c r="P610" s="4" t="str">
        <f t="shared" ref="P610:P611" si="74">HYPERLINK("https://archive.org/details/manualedellalett03torruoft","Abrir enlace")</f>
        <v>Abrir enlace</v>
      </c>
      <c r="Q610" s="2"/>
      <c r="R610" s="2"/>
      <c r="S610" s="2"/>
      <c r="T610" s="2"/>
      <c r="U610" s="2"/>
      <c r="V610" s="2"/>
      <c r="W610" s="2"/>
      <c r="X610" s="2"/>
      <c r="Y610" s="2"/>
      <c r="Z610" s="2"/>
      <c r="AA610" s="2" t="s">
        <v>60</v>
      </c>
      <c r="AB610" s="2" t="s">
        <v>41</v>
      </c>
      <c r="AC610" s="2" t="s">
        <v>1993</v>
      </c>
      <c r="AD610" s="2"/>
      <c r="AE610" s="2"/>
    </row>
    <row r="611" ht="15.75" customHeight="1">
      <c r="A611" s="2">
        <v>611.0</v>
      </c>
      <c r="B611" s="2" t="s">
        <v>1992</v>
      </c>
      <c r="C611" s="2"/>
      <c r="D611" s="2" t="s">
        <v>165</v>
      </c>
      <c r="E611" s="2" t="s">
        <v>64</v>
      </c>
      <c r="F611" s="2" t="s">
        <v>174</v>
      </c>
      <c r="G611" s="2" t="s">
        <v>1993</v>
      </c>
      <c r="H611" s="2" t="s">
        <v>34</v>
      </c>
      <c r="I611" s="2" t="s">
        <v>36</v>
      </c>
      <c r="J611" s="2" t="s">
        <v>37</v>
      </c>
      <c r="K611" s="4" t="str">
        <f t="shared" si="73"/>
        <v>Abrir enlace</v>
      </c>
      <c r="L611" s="2" t="s">
        <v>1994</v>
      </c>
      <c r="M611" s="2"/>
      <c r="N611" s="2" t="s">
        <v>54</v>
      </c>
      <c r="O611" s="2"/>
      <c r="P611" s="4" t="str">
        <f t="shared" si="74"/>
        <v>Abrir enlace</v>
      </c>
      <c r="Q611" s="2"/>
      <c r="R611" s="2"/>
      <c r="S611" s="2"/>
      <c r="T611" s="2"/>
      <c r="U611" s="2"/>
      <c r="V611" s="2"/>
      <c r="W611" s="2"/>
      <c r="X611" s="2"/>
      <c r="Y611" s="2"/>
      <c r="Z611" s="2"/>
      <c r="AA611" s="2" t="s">
        <v>60</v>
      </c>
      <c r="AB611" s="2" t="s">
        <v>41</v>
      </c>
      <c r="AC611" s="2" t="s">
        <v>1993</v>
      </c>
      <c r="AD611" s="2"/>
      <c r="AE611" s="2"/>
    </row>
    <row r="612" ht="15.75" customHeight="1">
      <c r="A612" s="2">
        <v>612.0</v>
      </c>
      <c r="B612" s="2" t="s">
        <v>1995</v>
      </c>
      <c r="C612" s="2" t="s">
        <v>1996</v>
      </c>
      <c r="D612" s="2" t="s">
        <v>33</v>
      </c>
      <c r="E612" s="2" t="s">
        <v>34</v>
      </c>
      <c r="F612" s="2" t="s">
        <v>35</v>
      </c>
      <c r="G612" s="2"/>
      <c r="H612" s="2" t="s">
        <v>34</v>
      </c>
      <c r="I612" s="2" t="s">
        <v>36</v>
      </c>
      <c r="J612" s="2" t="s">
        <v>1488</v>
      </c>
      <c r="K612" s="4" t="str">
        <f>HYPERLINK("https://books.google.com/books/about/Compendio_della_istoria_romana_di_monsig.html?id=hhPhOtM_FKYC","Abrir enlace")</f>
        <v>Abrir enlace</v>
      </c>
      <c r="L612" s="2" t="s">
        <v>1997</v>
      </c>
      <c r="M612" s="2"/>
      <c r="N612" s="2" t="s">
        <v>91</v>
      </c>
      <c r="O612" s="2" t="s">
        <v>1766</v>
      </c>
      <c r="P612" s="4" t="str">
        <f>HYPERLINK("https://books.google.com/books/about/Compendio_della_istoria_romana_di_monsig.html?id=hhPhOtM_FKYC","Abrir enlace")</f>
        <v>Abrir enlace</v>
      </c>
      <c r="Q612" s="2" t="s">
        <v>1998</v>
      </c>
      <c r="R612" s="2"/>
      <c r="S612" s="2" t="s">
        <v>91</v>
      </c>
      <c r="T612" s="2" t="s">
        <v>1652</v>
      </c>
      <c r="U612" s="4" t="str">
        <f>HYPERLINK("https://archive.org/details/bub_gb_7JTRGgPYY8wC","Abrir enlace")</f>
        <v>Abrir enlace</v>
      </c>
      <c r="V612" s="2" t="s">
        <v>1999</v>
      </c>
      <c r="W612" s="2"/>
      <c r="X612" s="2" t="s">
        <v>91</v>
      </c>
      <c r="Y612" s="2" t="s">
        <v>2000</v>
      </c>
      <c r="Z612" s="4" t="str">
        <f>HYPERLINK("https://www.abebooks.com/Compendio-istoria-romana-Pellegrino-Farini-Vincenzo/30773817204/bd","Abrir enlace")</f>
        <v>Abrir enlace</v>
      </c>
      <c r="AA612" s="2"/>
      <c r="AB612" s="2"/>
      <c r="AC612" s="2"/>
      <c r="AD612" s="2"/>
      <c r="AE612" s="2"/>
    </row>
    <row r="613" ht="15.75" customHeight="1">
      <c r="A613" s="2">
        <v>613.0</v>
      </c>
      <c r="B613" s="2" t="s">
        <v>2001</v>
      </c>
      <c r="C613" s="2" t="s">
        <v>2002</v>
      </c>
      <c r="D613" s="2" t="s">
        <v>33</v>
      </c>
      <c r="E613" s="2" t="s">
        <v>34</v>
      </c>
      <c r="F613" s="3" t="s">
        <v>35</v>
      </c>
      <c r="G613" s="2"/>
      <c r="H613" s="2" t="s">
        <v>34</v>
      </c>
      <c r="I613" s="2" t="s">
        <v>36</v>
      </c>
      <c r="J613" s="2" t="s">
        <v>37</v>
      </c>
      <c r="K613" s="4" t="str">
        <f t="shared" ref="K613:K615" si="75">HYPERLINK("https://archive.org/details/historiagenerld00mari","Abrir enlace")</f>
        <v>Abrir enlace</v>
      </c>
      <c r="L613" s="2" t="s">
        <v>2001</v>
      </c>
      <c r="M613" s="2"/>
      <c r="N613" s="2" t="s">
        <v>54</v>
      </c>
      <c r="O613" s="2"/>
      <c r="P613" s="4" t="str">
        <f t="shared" ref="P613:P615" si="76">HYPERLINK("https://archive.org/details/historiagenerld00mari","Abrir enlace")</f>
        <v>Abrir enlace</v>
      </c>
      <c r="Q613" s="2"/>
      <c r="R613" s="2"/>
      <c r="S613" s="2"/>
      <c r="T613" s="2"/>
      <c r="U613" s="2"/>
      <c r="V613" s="2"/>
      <c r="W613" s="2"/>
      <c r="X613" s="2"/>
      <c r="Y613" s="2"/>
      <c r="Z613" s="2"/>
      <c r="AA613" s="2" t="s">
        <v>51</v>
      </c>
      <c r="AB613" s="2" t="s">
        <v>41</v>
      </c>
      <c r="AC613" s="2"/>
      <c r="AD613" s="2"/>
      <c r="AE613" s="2"/>
    </row>
    <row r="614" ht="15.75" customHeight="1">
      <c r="A614" s="2">
        <v>614.0</v>
      </c>
      <c r="B614" s="2" t="s">
        <v>2001</v>
      </c>
      <c r="C614" s="2" t="s">
        <v>2002</v>
      </c>
      <c r="D614" s="2" t="s">
        <v>33</v>
      </c>
      <c r="E614" s="2" t="s">
        <v>34</v>
      </c>
      <c r="F614" s="3" t="s">
        <v>35</v>
      </c>
      <c r="G614" s="2"/>
      <c r="H614" s="2" t="s">
        <v>34</v>
      </c>
      <c r="I614" s="2" t="s">
        <v>36</v>
      </c>
      <c r="J614" s="2" t="s">
        <v>37</v>
      </c>
      <c r="K614" s="4" t="str">
        <f t="shared" si="75"/>
        <v>Abrir enlace</v>
      </c>
      <c r="L614" s="2" t="s">
        <v>2001</v>
      </c>
      <c r="M614" s="2"/>
      <c r="N614" s="2" t="s">
        <v>54</v>
      </c>
      <c r="O614" s="2"/>
      <c r="P614" s="4" t="str">
        <f t="shared" si="76"/>
        <v>Abrir enlace</v>
      </c>
      <c r="Q614" s="2"/>
      <c r="R614" s="2"/>
      <c r="S614" s="2"/>
      <c r="T614" s="2"/>
      <c r="U614" s="2"/>
      <c r="V614" s="2"/>
      <c r="W614" s="2"/>
      <c r="X614" s="2"/>
      <c r="Y614" s="2"/>
      <c r="Z614" s="2"/>
      <c r="AA614" s="2" t="s">
        <v>51</v>
      </c>
      <c r="AB614" s="2" t="s">
        <v>41</v>
      </c>
      <c r="AC614" s="2"/>
      <c r="AD614" s="2"/>
      <c r="AE614" s="2"/>
    </row>
    <row r="615" ht="15.75" customHeight="1">
      <c r="A615" s="2">
        <v>615.0</v>
      </c>
      <c r="B615" s="2" t="s">
        <v>2001</v>
      </c>
      <c r="C615" s="2" t="s">
        <v>2002</v>
      </c>
      <c r="D615" s="2" t="s">
        <v>33</v>
      </c>
      <c r="E615" s="2" t="s">
        <v>34</v>
      </c>
      <c r="F615" s="3" t="s">
        <v>35</v>
      </c>
      <c r="G615" s="2"/>
      <c r="H615" s="2" t="s">
        <v>34</v>
      </c>
      <c r="I615" s="2" t="s">
        <v>36</v>
      </c>
      <c r="J615" s="2" t="s">
        <v>37</v>
      </c>
      <c r="K615" s="4" t="str">
        <f t="shared" si="75"/>
        <v>Abrir enlace</v>
      </c>
      <c r="L615" s="2" t="s">
        <v>2001</v>
      </c>
      <c r="M615" s="2"/>
      <c r="N615" s="2" t="s">
        <v>54</v>
      </c>
      <c r="O615" s="2"/>
      <c r="P615" s="4" t="str">
        <f t="shared" si="76"/>
        <v>Abrir enlace</v>
      </c>
      <c r="Q615" s="2"/>
      <c r="R615" s="2"/>
      <c r="S615" s="2"/>
      <c r="T615" s="2"/>
      <c r="U615" s="2"/>
      <c r="V615" s="2"/>
      <c r="W615" s="2"/>
      <c r="X615" s="2"/>
      <c r="Y615" s="2"/>
      <c r="Z615" s="2"/>
      <c r="AA615" s="2" t="s">
        <v>51</v>
      </c>
      <c r="AB615" s="2" t="s">
        <v>41</v>
      </c>
      <c r="AC615" s="2"/>
      <c r="AD615" s="2"/>
      <c r="AE615" s="2"/>
    </row>
    <row r="616" ht="15.75" customHeight="1">
      <c r="A616" s="2">
        <v>616.0</v>
      </c>
      <c r="B616" s="2" t="s">
        <v>2003</v>
      </c>
      <c r="C616" s="2" t="s">
        <v>2004</v>
      </c>
      <c r="D616" s="2" t="s">
        <v>33</v>
      </c>
      <c r="E616" s="2" t="s">
        <v>64</v>
      </c>
      <c r="F616" s="2" t="s">
        <v>35</v>
      </c>
      <c r="G616" s="2"/>
      <c r="H616" s="2" t="s">
        <v>64</v>
      </c>
      <c r="I616" s="2" t="s">
        <v>36</v>
      </c>
      <c r="J616" s="2" t="s">
        <v>2005</v>
      </c>
      <c r="K616" s="4" t="str">
        <f>HYPERLINK("https://elekpub.bib.uni-wuppertal.de/download/pdf/6990143.pdf","Abrir enlace")</f>
        <v>Abrir enlace</v>
      </c>
      <c r="L616" s="2" t="s">
        <v>2006</v>
      </c>
      <c r="M616" s="2"/>
      <c r="N616" s="2" t="s">
        <v>91</v>
      </c>
      <c r="O616" s="2" t="s">
        <v>2007</v>
      </c>
      <c r="P616" s="4" t="str">
        <f>HYPERLINK("https://elekpub.bib.uni-wuppertal.de/download/pdf/6990143.pdf","Abrir enlace")</f>
        <v>Abrir enlace</v>
      </c>
      <c r="Q616" s="2" t="s">
        <v>2008</v>
      </c>
      <c r="R616" s="2"/>
      <c r="S616" s="2" t="s">
        <v>91</v>
      </c>
      <c r="T616" s="2" t="s">
        <v>2009</v>
      </c>
      <c r="U616" s="4" t="str">
        <f>HYPERLINK("https://books.google.com/books/about/M_Tullii_Ciceronis_opera_Orationes.html?id=KWfRAAAAMAAJ","Abrir enlace")</f>
        <v>Abrir enlace</v>
      </c>
      <c r="V616" s="2" t="s">
        <v>2010</v>
      </c>
      <c r="W616" s="2"/>
      <c r="X616" s="2" t="s">
        <v>91</v>
      </c>
      <c r="Y616" s="2" t="s">
        <v>104</v>
      </c>
      <c r="Z616" s="4" t="str">
        <f>HYPERLINK("https://books.google.com/books/about/Opera.html?id=txhSAAAAcAAJ","Abrir enlace")</f>
        <v>Abrir enlace</v>
      </c>
      <c r="AA616" s="2"/>
      <c r="AB616" s="2"/>
      <c r="AC616" s="2"/>
      <c r="AD616" s="2"/>
      <c r="AE616" s="2"/>
    </row>
    <row r="617" ht="15.75" customHeight="1">
      <c r="A617" s="2">
        <v>617.0</v>
      </c>
      <c r="B617" s="2" t="s">
        <v>2003</v>
      </c>
      <c r="C617" s="2" t="s">
        <v>2004</v>
      </c>
      <c r="D617" s="2" t="s">
        <v>33</v>
      </c>
      <c r="E617" s="2" t="s">
        <v>64</v>
      </c>
      <c r="F617" s="2" t="s">
        <v>35</v>
      </c>
      <c r="G617" s="2"/>
      <c r="H617" s="2" t="s">
        <v>64</v>
      </c>
      <c r="I617" s="2" t="s">
        <v>36</v>
      </c>
      <c r="J617" s="2" t="s">
        <v>2005</v>
      </c>
      <c r="K617" s="2" t="s">
        <v>757</v>
      </c>
      <c r="L617" s="2" t="s">
        <v>2006</v>
      </c>
      <c r="M617" s="2"/>
      <c r="N617" s="2" t="s">
        <v>91</v>
      </c>
      <c r="O617" s="2" t="s">
        <v>2007</v>
      </c>
      <c r="P617" s="2" t="s">
        <v>757</v>
      </c>
      <c r="Q617" s="2" t="s">
        <v>2008</v>
      </c>
      <c r="R617" s="2"/>
      <c r="S617" s="2" t="s">
        <v>91</v>
      </c>
      <c r="T617" s="2" t="s">
        <v>2009</v>
      </c>
      <c r="U617" s="2" t="s">
        <v>757</v>
      </c>
      <c r="V617" s="2" t="s">
        <v>2010</v>
      </c>
      <c r="W617" s="2"/>
      <c r="X617" s="2" t="s">
        <v>91</v>
      </c>
      <c r="Y617" s="2" t="s">
        <v>104</v>
      </c>
      <c r="Z617" s="2" t="s">
        <v>757</v>
      </c>
      <c r="AA617" s="2"/>
      <c r="AB617" s="2"/>
      <c r="AC617" s="2"/>
      <c r="AD617" s="2"/>
      <c r="AE617" s="2"/>
    </row>
    <row r="618" ht="15.75" customHeight="1">
      <c r="A618" s="2">
        <v>618.0</v>
      </c>
      <c r="B618" s="2" t="s">
        <v>2011</v>
      </c>
      <c r="C618" s="2" t="s">
        <v>2004</v>
      </c>
      <c r="D618" s="2" t="s">
        <v>33</v>
      </c>
      <c r="E618" s="2" t="s">
        <v>64</v>
      </c>
      <c r="F618" s="2" t="s">
        <v>35</v>
      </c>
      <c r="G618" s="2"/>
      <c r="H618" s="2" t="s">
        <v>64</v>
      </c>
      <c r="I618" s="2" t="s">
        <v>36</v>
      </c>
      <c r="J618" s="2" t="s">
        <v>1250</v>
      </c>
      <c r="K618" s="4" t="str">
        <f>HYPERLINK("https://openlibrary.org/works/OL15217954W","Abrir enlace")</f>
        <v>Abrir enlace</v>
      </c>
      <c r="L618" s="2" t="s">
        <v>2012</v>
      </c>
      <c r="M618" s="2" t="s">
        <v>2013</v>
      </c>
      <c r="N618" s="2" t="s">
        <v>45</v>
      </c>
      <c r="O618" s="2" t="s">
        <v>2014</v>
      </c>
      <c r="P618" s="4" t="str">
        <f>HYPERLINK("https://openlibrary.org/works/OL15217954W","Abrir enlace")</f>
        <v>Abrir enlace</v>
      </c>
      <c r="Q618" s="2" t="s">
        <v>2015</v>
      </c>
      <c r="R618" s="2"/>
      <c r="S618" s="2" t="s">
        <v>91</v>
      </c>
      <c r="T618" s="2" t="s">
        <v>2016</v>
      </c>
      <c r="U618" s="4" t="str">
        <f>HYPERLINK("https://books.google.com/books/about/M_Tullii_Ciceronis_opera_Epistolae_ad_di.html?id=F-RLAQAAIAAJ","Abrir enlace")</f>
        <v>Abrir enlace</v>
      </c>
      <c r="V618" s="2" t="s">
        <v>2017</v>
      </c>
      <c r="W618" s="2" t="s">
        <v>2018</v>
      </c>
      <c r="X618" s="2" t="s">
        <v>45</v>
      </c>
      <c r="Y618" s="2" t="s">
        <v>2019</v>
      </c>
      <c r="Z618" s="4" t="str">
        <f>HYPERLINK("https://openlibrary.org/works/OL38711622W","Abrir enlace")</f>
        <v>Abrir enlace</v>
      </c>
      <c r="AA618" s="2"/>
      <c r="AB618" s="2"/>
      <c r="AC618" s="2"/>
      <c r="AD618" s="2"/>
      <c r="AE618" s="2"/>
    </row>
    <row r="619" ht="15.75" customHeight="1">
      <c r="A619" s="2">
        <v>619.0</v>
      </c>
      <c r="B619" s="2" t="s">
        <v>2011</v>
      </c>
      <c r="C619" s="2" t="s">
        <v>2004</v>
      </c>
      <c r="D619" s="2" t="s">
        <v>33</v>
      </c>
      <c r="E619" s="2" t="s">
        <v>64</v>
      </c>
      <c r="F619" s="2" t="s">
        <v>35</v>
      </c>
      <c r="G619" s="2"/>
      <c r="H619" s="2" t="s">
        <v>64</v>
      </c>
      <c r="I619" s="2" t="s">
        <v>36</v>
      </c>
      <c r="J619" s="2" t="s">
        <v>1250</v>
      </c>
      <c r="K619" s="2" t="s">
        <v>757</v>
      </c>
      <c r="L619" s="2" t="s">
        <v>2012</v>
      </c>
      <c r="M619" s="2" t="s">
        <v>2013</v>
      </c>
      <c r="N619" s="2" t="s">
        <v>45</v>
      </c>
      <c r="O619" s="2" t="s">
        <v>2014</v>
      </c>
      <c r="P619" s="2" t="s">
        <v>757</v>
      </c>
      <c r="Q619" s="2" t="s">
        <v>2015</v>
      </c>
      <c r="R619" s="2"/>
      <c r="S619" s="2" t="s">
        <v>91</v>
      </c>
      <c r="T619" s="2" t="s">
        <v>2016</v>
      </c>
      <c r="U619" s="2" t="s">
        <v>757</v>
      </c>
      <c r="V619" s="2" t="s">
        <v>2017</v>
      </c>
      <c r="W619" s="2" t="s">
        <v>2018</v>
      </c>
      <c r="X619" s="2" t="s">
        <v>45</v>
      </c>
      <c r="Y619" s="2" t="s">
        <v>2019</v>
      </c>
      <c r="Z619" s="2" t="s">
        <v>757</v>
      </c>
      <c r="AA619" s="2"/>
      <c r="AB619" s="2"/>
      <c r="AC619" s="2"/>
      <c r="AD619" s="2"/>
      <c r="AE619" s="2"/>
    </row>
    <row r="620" ht="15.75" customHeight="1">
      <c r="A620" s="2">
        <v>620.0</v>
      </c>
      <c r="B620" s="2" t="s">
        <v>2020</v>
      </c>
      <c r="C620" s="2" t="s">
        <v>2004</v>
      </c>
      <c r="D620" s="2" t="s">
        <v>33</v>
      </c>
      <c r="E620" s="2" t="s">
        <v>70</v>
      </c>
      <c r="F620" s="2" t="s">
        <v>35</v>
      </c>
      <c r="G620" s="2"/>
      <c r="H620" s="2" t="s">
        <v>70</v>
      </c>
      <c r="I620" s="2" t="s">
        <v>36</v>
      </c>
      <c r="J620" s="2" t="s">
        <v>2021</v>
      </c>
      <c r="K620" s="4" t="str">
        <f>HYPERLINK("https://leopolitana.ossolineum.pl/en/dlibra/publication/3300/edition/2803/m-tvllii-ciceronis-opera-philosophica-vol-1-in-vsvm-ivventvtis-academicae-cicero-marcus-tullius-106-43-a-c","Abrir enlace")</f>
        <v>Abrir enlace</v>
      </c>
      <c r="L620" s="2" t="s">
        <v>2022</v>
      </c>
      <c r="M620" s="2"/>
      <c r="N620" s="2" t="s">
        <v>91</v>
      </c>
      <c r="O620" s="2" t="s">
        <v>1680</v>
      </c>
      <c r="P620" s="4" t="str">
        <f>HYPERLINK("https://leopolitana.ossolineum.pl/en/dlibra/publication/3300/edition/2803/m-tvllii-ciceronis-opera-philosophica-vol-1-in-vsvm-ivventvtis-academicae-cicero-marcus-tullius-106-43-a-c","Abrir enlace")</f>
        <v>Abrir enlace</v>
      </c>
      <c r="Q620" s="2" t="s">
        <v>2023</v>
      </c>
      <c r="R620" s="2"/>
      <c r="S620" s="2" t="s">
        <v>91</v>
      </c>
      <c r="T620" s="2" t="s">
        <v>1423</v>
      </c>
      <c r="U620" s="4" t="str">
        <f>HYPERLINK("https://books.google.com/books/about/M_Tvllii_Ciceronis_Opera_Omnia.html?id=Th09AAAAcAAJ","Abrir enlace")</f>
        <v>Abrir enlace</v>
      </c>
      <c r="V620" s="2" t="s">
        <v>2024</v>
      </c>
      <c r="W620" s="2"/>
      <c r="X620" s="2" t="s">
        <v>91</v>
      </c>
      <c r="Y620" s="2" t="s">
        <v>1223</v>
      </c>
      <c r="Z620" s="4" t="str">
        <f>HYPERLINK("https://catalog.hathitrust.org/Record/100220625","Abrir enlace")</f>
        <v>Abrir enlace</v>
      </c>
      <c r="AA620" s="2"/>
      <c r="AB620" s="2"/>
      <c r="AC620" s="2"/>
      <c r="AD620" s="2"/>
      <c r="AE620" s="2"/>
    </row>
    <row r="621" ht="15.75" customHeight="1">
      <c r="A621" s="2">
        <v>621.0</v>
      </c>
      <c r="B621" s="2" t="s">
        <v>2020</v>
      </c>
      <c r="C621" s="2" t="s">
        <v>2004</v>
      </c>
      <c r="D621" s="2" t="s">
        <v>33</v>
      </c>
      <c r="E621" s="2" t="s">
        <v>70</v>
      </c>
      <c r="F621" s="2" t="s">
        <v>35</v>
      </c>
      <c r="G621" s="2"/>
      <c r="H621" s="2" t="s">
        <v>70</v>
      </c>
      <c r="I621" s="2" t="s">
        <v>36</v>
      </c>
      <c r="J621" s="2" t="s">
        <v>2021</v>
      </c>
      <c r="K621" s="2" t="s">
        <v>757</v>
      </c>
      <c r="L621" s="2" t="s">
        <v>2022</v>
      </c>
      <c r="M621" s="2"/>
      <c r="N621" s="2" t="s">
        <v>91</v>
      </c>
      <c r="O621" s="2" t="s">
        <v>1680</v>
      </c>
      <c r="P621" s="2" t="s">
        <v>757</v>
      </c>
      <c r="Q621" s="2" t="s">
        <v>2023</v>
      </c>
      <c r="R621" s="2"/>
      <c r="S621" s="2" t="s">
        <v>91</v>
      </c>
      <c r="T621" s="2" t="s">
        <v>1423</v>
      </c>
      <c r="U621" s="2" t="s">
        <v>757</v>
      </c>
      <c r="V621" s="2" t="s">
        <v>2024</v>
      </c>
      <c r="W621" s="2"/>
      <c r="X621" s="2" t="s">
        <v>91</v>
      </c>
      <c r="Y621" s="2" t="s">
        <v>1223</v>
      </c>
      <c r="Z621" s="2" t="s">
        <v>757</v>
      </c>
      <c r="AA621" s="2"/>
      <c r="AB621" s="2"/>
      <c r="AC621" s="2"/>
      <c r="AD621" s="2"/>
      <c r="AE621" s="2"/>
    </row>
    <row r="622" ht="15.75" customHeight="1">
      <c r="A622" s="2">
        <v>622.0</v>
      </c>
      <c r="B622" s="2" t="s">
        <v>317</v>
      </c>
      <c r="C622" s="2" t="s">
        <v>243</v>
      </c>
      <c r="D622" s="2" t="s">
        <v>33</v>
      </c>
      <c r="E622" s="2" t="s">
        <v>64</v>
      </c>
      <c r="F622" s="3" t="s">
        <v>35</v>
      </c>
      <c r="G622" s="2"/>
      <c r="H622" s="2" t="s">
        <v>64</v>
      </c>
      <c r="I622" s="2" t="s">
        <v>36</v>
      </c>
      <c r="J622" s="2" t="s">
        <v>37</v>
      </c>
      <c r="K622" s="4" t="str">
        <f>HYPERLINK("https://openlibrary.org/works/OL39445316W","Abrir enlace")</f>
        <v>Abrir enlace</v>
      </c>
      <c r="L622" s="2" t="s">
        <v>2025</v>
      </c>
      <c r="M622" s="2"/>
      <c r="N622" s="2" t="s">
        <v>45</v>
      </c>
      <c r="O622" s="2"/>
      <c r="P622" s="4" t="str">
        <f>HYPERLINK("https://openlibrary.org/works/OL39445316W","Abrir enlace")</f>
        <v>Abrir enlace</v>
      </c>
      <c r="Q622" s="2"/>
      <c r="R622" s="2"/>
      <c r="S622" s="2"/>
      <c r="T622" s="2"/>
      <c r="U622" s="2"/>
      <c r="V622" s="2"/>
      <c r="W622" s="2"/>
      <c r="X622" s="2"/>
      <c r="Y622" s="2"/>
      <c r="Z622" s="2"/>
      <c r="AA622" s="2" t="s">
        <v>40</v>
      </c>
      <c r="AB622" s="2" t="s">
        <v>67</v>
      </c>
      <c r="AC622" s="2"/>
      <c r="AD622" s="2"/>
      <c r="AE622" s="2"/>
    </row>
    <row r="623" ht="15.75" customHeight="1">
      <c r="A623" s="2">
        <v>623.0</v>
      </c>
      <c r="B623" s="2" t="s">
        <v>2026</v>
      </c>
      <c r="C623" s="2" t="s">
        <v>2027</v>
      </c>
      <c r="D623" s="2" t="s">
        <v>33</v>
      </c>
      <c r="E623" s="2" t="s">
        <v>112</v>
      </c>
      <c r="F623" s="3" t="s">
        <v>35</v>
      </c>
      <c r="G623" s="2"/>
      <c r="H623" s="2" t="s">
        <v>112</v>
      </c>
      <c r="I623" s="2" t="s">
        <v>36</v>
      </c>
      <c r="J623" s="2" t="s">
        <v>2028</v>
      </c>
      <c r="K623" s="4" t="str">
        <f t="shared" ref="K623:K624" si="77">HYPERLINK("https://openlibrary.org/works/OL20424876W","Abrir enlace")</f>
        <v>Abrir enlace</v>
      </c>
      <c r="L623" s="2" t="s">
        <v>2029</v>
      </c>
      <c r="M623" s="2"/>
      <c r="N623" s="2" t="s">
        <v>45</v>
      </c>
      <c r="O623" s="2"/>
      <c r="P623" s="4" t="str">
        <f t="shared" ref="P623:P624" si="78">HYPERLINK("https://openlibrary.org/works/OL20424876W","Abrir enlace")</f>
        <v>Abrir enlace</v>
      </c>
      <c r="Q623" s="2"/>
      <c r="R623" s="2"/>
      <c r="S623" s="2"/>
      <c r="T623" s="2"/>
      <c r="U623" s="2"/>
      <c r="V623" s="2"/>
      <c r="W623" s="2"/>
      <c r="X623" s="2"/>
      <c r="Y623" s="2"/>
      <c r="Z623" s="2"/>
      <c r="AA623" s="2" t="s">
        <v>66</v>
      </c>
      <c r="AB623" s="2" t="s">
        <v>2030</v>
      </c>
      <c r="AC623" s="2"/>
      <c r="AD623" s="2"/>
      <c r="AE623" s="2"/>
    </row>
    <row r="624" ht="15.75" customHeight="1">
      <c r="A624" s="2">
        <v>624.0</v>
      </c>
      <c r="B624" s="2" t="s">
        <v>2026</v>
      </c>
      <c r="C624" s="2" t="s">
        <v>2027</v>
      </c>
      <c r="D624" s="2" t="s">
        <v>33</v>
      </c>
      <c r="E624" s="2" t="s">
        <v>112</v>
      </c>
      <c r="F624" s="3" t="s">
        <v>35</v>
      </c>
      <c r="G624" s="2"/>
      <c r="H624" s="2" t="s">
        <v>112</v>
      </c>
      <c r="I624" s="2" t="s">
        <v>36</v>
      </c>
      <c r="J624" s="2" t="s">
        <v>2028</v>
      </c>
      <c r="K624" s="4" t="str">
        <f t="shared" si="77"/>
        <v>Abrir enlace</v>
      </c>
      <c r="L624" s="2" t="s">
        <v>2029</v>
      </c>
      <c r="M624" s="2"/>
      <c r="N624" s="2" t="s">
        <v>45</v>
      </c>
      <c r="O624" s="2"/>
      <c r="P624" s="4" t="str">
        <f t="shared" si="78"/>
        <v>Abrir enlace</v>
      </c>
      <c r="Q624" s="2"/>
      <c r="R624" s="2"/>
      <c r="S624" s="2"/>
      <c r="T624" s="2"/>
      <c r="U624" s="2"/>
      <c r="V624" s="2"/>
      <c r="W624" s="2"/>
      <c r="X624" s="2"/>
      <c r="Y624" s="2"/>
      <c r="Z624" s="2"/>
      <c r="AA624" s="2" t="s">
        <v>66</v>
      </c>
      <c r="AB624" s="2" t="s">
        <v>2030</v>
      </c>
      <c r="AC624" s="2"/>
      <c r="AD624" s="2"/>
      <c r="AE624" s="2"/>
    </row>
    <row r="625" ht="15.75" customHeight="1">
      <c r="A625" s="2">
        <v>625.0</v>
      </c>
      <c r="B625" s="2" t="s">
        <v>2031</v>
      </c>
      <c r="C625" s="2"/>
      <c r="D625" s="2" t="s">
        <v>49</v>
      </c>
      <c r="E625" s="2" t="s">
        <v>112</v>
      </c>
      <c r="F625" s="2" t="s">
        <v>174</v>
      </c>
      <c r="G625" s="2"/>
      <c r="H625" s="2" t="s">
        <v>188</v>
      </c>
      <c r="I625" s="2" t="s">
        <v>36</v>
      </c>
      <c r="J625" s="2" t="s">
        <v>2032</v>
      </c>
      <c r="K625" s="4" t="str">
        <f>HYPERLINK("https://openlibrary.org/works/OL44897066W","Abrir enlace")</f>
        <v>Abrir enlace</v>
      </c>
      <c r="L625" s="2" t="s">
        <v>2033</v>
      </c>
      <c r="M625" s="2"/>
      <c r="N625" s="2" t="s">
        <v>45</v>
      </c>
      <c r="O625" s="2"/>
      <c r="P625" s="4" t="str">
        <f>HYPERLINK("https://openlibrary.org/works/OL44897066W","Abrir enlace")</f>
        <v>Abrir enlace</v>
      </c>
      <c r="Q625" s="2"/>
      <c r="R625" s="2"/>
      <c r="S625" s="2"/>
      <c r="T625" s="2"/>
      <c r="U625" s="2"/>
      <c r="V625" s="2"/>
      <c r="W625" s="2"/>
      <c r="X625" s="2"/>
      <c r="Y625" s="2"/>
      <c r="Z625" s="2"/>
      <c r="AA625" s="2" t="s">
        <v>46</v>
      </c>
      <c r="AB625" s="2" t="s">
        <v>2034</v>
      </c>
      <c r="AC625" s="2"/>
      <c r="AD625" s="2"/>
      <c r="AE625" s="2"/>
    </row>
    <row r="626" ht="15.75" customHeight="1">
      <c r="A626" s="2">
        <v>626.0</v>
      </c>
      <c r="B626" s="2" t="s">
        <v>2035</v>
      </c>
      <c r="C626" s="2" t="s">
        <v>2036</v>
      </c>
      <c r="D626" s="2" t="s">
        <v>33</v>
      </c>
      <c r="E626" s="2" t="s">
        <v>34</v>
      </c>
      <c r="F626" s="3" t="s">
        <v>35</v>
      </c>
      <c r="G626" s="2"/>
      <c r="H626" s="2" t="s">
        <v>34</v>
      </c>
      <c r="I626" s="2" t="s">
        <v>36</v>
      </c>
      <c r="J626" s="2" t="s">
        <v>37</v>
      </c>
      <c r="K626" s="4" t="str">
        <f>HYPERLINK("https://archive.org/details/compendiode01duchguat","Abrir enlace")</f>
        <v>Abrir enlace</v>
      </c>
      <c r="L626" s="2" t="s">
        <v>2035</v>
      </c>
      <c r="M626" s="2"/>
      <c r="N626" s="2" t="s">
        <v>54</v>
      </c>
      <c r="O626" s="2"/>
      <c r="P626" s="4" t="str">
        <f>HYPERLINK("https://archive.org/details/compendiode01duchguat","Abrir enlace")</f>
        <v>Abrir enlace</v>
      </c>
      <c r="Q626" s="2"/>
      <c r="R626" s="2"/>
      <c r="S626" s="2"/>
      <c r="T626" s="2"/>
      <c r="U626" s="2"/>
      <c r="V626" s="2"/>
      <c r="W626" s="2"/>
      <c r="X626" s="2"/>
      <c r="Y626" s="2"/>
      <c r="Z626" s="2"/>
      <c r="AA626" s="2" t="s">
        <v>51</v>
      </c>
      <c r="AB626" s="2" t="s">
        <v>41</v>
      </c>
      <c r="AC626" s="2"/>
      <c r="AD626" s="2"/>
      <c r="AE626" s="2"/>
    </row>
    <row r="627" ht="15.75" customHeight="1">
      <c r="A627" s="2">
        <v>627.0</v>
      </c>
      <c r="B627" s="2" t="s">
        <v>2037</v>
      </c>
      <c r="C627" s="2" t="s">
        <v>2038</v>
      </c>
      <c r="D627" s="2" t="s">
        <v>99</v>
      </c>
      <c r="E627" s="2" t="s">
        <v>34</v>
      </c>
      <c r="F627" s="2" t="s">
        <v>35</v>
      </c>
      <c r="G627" s="2"/>
      <c r="H627" s="2" t="s">
        <v>34</v>
      </c>
      <c r="I627" s="2" t="s">
        <v>36</v>
      </c>
      <c r="J627" s="2" t="s">
        <v>2039</v>
      </c>
      <c r="K627" s="4" t="str">
        <f>HYPERLINK("https://z-lib.id/book/lecciones-de-historia","Abrir enlace")</f>
        <v>Abrir enlace</v>
      </c>
      <c r="L627" s="2" t="s">
        <v>2040</v>
      </c>
      <c r="M627" s="2"/>
      <c r="N627" s="2" t="s">
        <v>91</v>
      </c>
      <c r="O627" s="2" t="s">
        <v>2041</v>
      </c>
      <c r="P627" s="4" t="str">
        <f>HYPERLINK("https://z-lib.id/book/lecciones-de-historia","Abrir enlace")</f>
        <v>Abrir enlace</v>
      </c>
      <c r="Q627" s="2" t="s">
        <v>2042</v>
      </c>
      <c r="R627" s="2"/>
      <c r="S627" s="2" t="s">
        <v>91</v>
      </c>
      <c r="T627" s="2" t="s">
        <v>950</v>
      </c>
      <c r="U627" s="4" t="str">
        <f>HYPERLINK("https://es.scribd.com/document/1037885060/Lecciones-de-Historia","Abrir enlace")</f>
        <v>Abrir enlace</v>
      </c>
      <c r="V627" s="2" t="s">
        <v>2043</v>
      </c>
      <c r="W627" s="2"/>
      <c r="X627" s="2" t="s">
        <v>91</v>
      </c>
      <c r="Y627" s="2" t="s">
        <v>1051</v>
      </c>
      <c r="Z627" s="4" t="str">
        <f>HYPERLINK("https://catalogue.bnf.fr/ark:/12148/cb316019399","Abrir enlace")</f>
        <v>Abrir enlace</v>
      </c>
      <c r="AA627" s="2"/>
      <c r="AB627" s="2"/>
      <c r="AC627" s="2"/>
      <c r="AD627" s="2"/>
      <c r="AE627" s="2"/>
    </row>
    <row r="628" ht="15.75" customHeight="1">
      <c r="A628" s="2">
        <v>628.0</v>
      </c>
      <c r="B628" s="2" t="s">
        <v>2044</v>
      </c>
      <c r="C628" s="2"/>
      <c r="D628" s="2" t="s">
        <v>49</v>
      </c>
      <c r="E628" s="2" t="s">
        <v>70</v>
      </c>
      <c r="F628" s="3" t="s">
        <v>35</v>
      </c>
      <c r="G628" s="2"/>
      <c r="H628" s="2" t="s">
        <v>70</v>
      </c>
      <c r="I628" s="2" t="s">
        <v>36</v>
      </c>
      <c r="J628" s="2" t="s">
        <v>2045</v>
      </c>
      <c r="K628" s="4" t="str">
        <f>HYPERLINK("https://openlibrary.org/works/OL10566958W","Abrir enlace")</f>
        <v>Abrir enlace</v>
      </c>
      <c r="L628" s="2" t="s">
        <v>2046</v>
      </c>
      <c r="M628" s="2"/>
      <c r="N628" s="2" t="s">
        <v>45</v>
      </c>
      <c r="O628" s="2"/>
      <c r="P628" s="4" t="str">
        <f>HYPERLINK("https://openlibrary.org/works/OL10566958W","Abrir enlace")</f>
        <v>Abrir enlace</v>
      </c>
      <c r="Q628" s="2"/>
      <c r="R628" s="2"/>
      <c r="S628" s="2"/>
      <c r="T628" s="2"/>
      <c r="U628" s="2"/>
      <c r="V628" s="2"/>
      <c r="W628" s="2"/>
      <c r="X628" s="2"/>
      <c r="Y628" s="2"/>
      <c r="Z628" s="2"/>
      <c r="AA628" s="2" t="s">
        <v>40</v>
      </c>
      <c r="AB628" s="2" t="s">
        <v>1544</v>
      </c>
      <c r="AC628" s="2"/>
      <c r="AD628" s="2"/>
      <c r="AE628" s="2"/>
    </row>
    <row r="629" ht="15.75" customHeight="1">
      <c r="A629" s="2">
        <v>629.0</v>
      </c>
      <c r="B629" s="2" t="s">
        <v>2047</v>
      </c>
      <c r="C629" s="2" t="s">
        <v>2048</v>
      </c>
      <c r="D629" s="2" t="s">
        <v>33</v>
      </c>
      <c r="E629" s="2" t="s">
        <v>70</v>
      </c>
      <c r="F629" s="2" t="s">
        <v>35</v>
      </c>
      <c r="G629" s="2"/>
      <c r="H629" s="2" t="s">
        <v>70</v>
      </c>
      <c r="I629" s="2" t="s">
        <v>36</v>
      </c>
      <c r="J629" s="2" t="s">
        <v>2049</v>
      </c>
      <c r="K629" s="4" t="str">
        <f>HYPERLINK("https://books.google.com/books/about/Compendio_de_la_historia_natural_de_Buff.html?id=hHql-2DKvjAC","Abrir enlace")</f>
        <v>Abrir enlace</v>
      </c>
      <c r="L629" s="2" t="s">
        <v>2050</v>
      </c>
      <c r="M629" s="2"/>
      <c r="N629" s="2" t="s">
        <v>91</v>
      </c>
      <c r="O629" s="2" t="s">
        <v>92</v>
      </c>
      <c r="P629" s="4" t="str">
        <f>HYPERLINK("https://books.google.com/books/about/Compendio_de_la_historia_natural_de_Buff.html?id=hHql-2DKvjAC","Abrir enlace")</f>
        <v>Abrir enlace</v>
      </c>
      <c r="Q629" s="2" t="s">
        <v>2051</v>
      </c>
      <c r="R629" s="2"/>
      <c r="S629" s="2" t="s">
        <v>91</v>
      </c>
      <c r="T629" s="2" t="s">
        <v>926</v>
      </c>
      <c r="U629" s="4" t="str">
        <f>HYPERLINK("https://catalog.hathitrust.org/Record/009647800","Abrir enlace")</f>
        <v>Abrir enlace</v>
      </c>
      <c r="V629" s="2" t="s">
        <v>2052</v>
      </c>
      <c r="W629" s="2"/>
      <c r="X629" s="2" t="s">
        <v>91</v>
      </c>
      <c r="Y629" s="2" t="s">
        <v>2053</v>
      </c>
      <c r="Z629" s="4" t="str">
        <f>HYPERLINK("https://www.amazon.com/-/es/Compendio-Historia-Natural-Clasificado-Sistema/dp/1274994950","Abrir enlace")</f>
        <v>Abrir enlace</v>
      </c>
      <c r="AA629" s="2"/>
      <c r="AB629" s="2"/>
      <c r="AC629" s="2"/>
      <c r="AD629" s="2"/>
      <c r="AE629" s="2"/>
    </row>
    <row r="630" ht="15.75" customHeight="1">
      <c r="A630" s="2">
        <v>630.0</v>
      </c>
      <c r="B630" s="2" t="s">
        <v>2047</v>
      </c>
      <c r="C630" s="2" t="s">
        <v>2048</v>
      </c>
      <c r="D630" s="2" t="s">
        <v>33</v>
      </c>
      <c r="E630" s="2" t="s">
        <v>70</v>
      </c>
      <c r="F630" s="2" t="s">
        <v>35</v>
      </c>
      <c r="G630" s="2"/>
      <c r="H630" s="2" t="s">
        <v>70</v>
      </c>
      <c r="I630" s="2" t="s">
        <v>36</v>
      </c>
      <c r="J630" s="2" t="s">
        <v>2049</v>
      </c>
      <c r="K630" s="2" t="s">
        <v>757</v>
      </c>
      <c r="L630" s="2" t="s">
        <v>2050</v>
      </c>
      <c r="M630" s="2"/>
      <c r="N630" s="2" t="s">
        <v>91</v>
      </c>
      <c r="O630" s="2" t="s">
        <v>92</v>
      </c>
      <c r="P630" s="2" t="s">
        <v>757</v>
      </c>
      <c r="Q630" s="2" t="s">
        <v>2051</v>
      </c>
      <c r="R630" s="2"/>
      <c r="S630" s="2" t="s">
        <v>91</v>
      </c>
      <c r="T630" s="2" t="s">
        <v>926</v>
      </c>
      <c r="U630" s="2" t="s">
        <v>757</v>
      </c>
      <c r="V630" s="2" t="s">
        <v>2052</v>
      </c>
      <c r="W630" s="2"/>
      <c r="X630" s="2" t="s">
        <v>91</v>
      </c>
      <c r="Y630" s="2" t="s">
        <v>2053</v>
      </c>
      <c r="Z630" s="2" t="s">
        <v>757</v>
      </c>
      <c r="AA630" s="2"/>
      <c r="AB630" s="2"/>
      <c r="AC630" s="2"/>
      <c r="AD630" s="2"/>
      <c r="AE630" s="2"/>
    </row>
    <row r="631" ht="15.75" customHeight="1">
      <c r="A631" s="2">
        <v>631.0</v>
      </c>
      <c r="B631" s="2" t="s">
        <v>2047</v>
      </c>
      <c r="C631" s="2" t="s">
        <v>2048</v>
      </c>
      <c r="D631" s="2" t="s">
        <v>33</v>
      </c>
      <c r="E631" s="2" t="s">
        <v>70</v>
      </c>
      <c r="F631" s="2" t="s">
        <v>35</v>
      </c>
      <c r="G631" s="2"/>
      <c r="H631" s="2" t="s">
        <v>70</v>
      </c>
      <c r="I631" s="2" t="s">
        <v>36</v>
      </c>
      <c r="J631" s="2" t="s">
        <v>2049</v>
      </c>
      <c r="K631" s="2" t="s">
        <v>757</v>
      </c>
      <c r="L631" s="2" t="s">
        <v>2050</v>
      </c>
      <c r="M631" s="2"/>
      <c r="N631" s="2" t="s">
        <v>91</v>
      </c>
      <c r="O631" s="2" t="s">
        <v>92</v>
      </c>
      <c r="P631" s="2" t="s">
        <v>757</v>
      </c>
      <c r="Q631" s="2" t="s">
        <v>2051</v>
      </c>
      <c r="R631" s="2"/>
      <c r="S631" s="2" t="s">
        <v>91</v>
      </c>
      <c r="T631" s="2" t="s">
        <v>926</v>
      </c>
      <c r="U631" s="2" t="s">
        <v>757</v>
      </c>
      <c r="V631" s="2" t="s">
        <v>2052</v>
      </c>
      <c r="W631" s="2"/>
      <c r="X631" s="2" t="s">
        <v>91</v>
      </c>
      <c r="Y631" s="2" t="s">
        <v>2053</v>
      </c>
      <c r="Z631" s="2" t="s">
        <v>757</v>
      </c>
      <c r="AA631" s="2"/>
      <c r="AB631" s="2"/>
      <c r="AC631" s="2"/>
      <c r="AD631" s="2"/>
      <c r="AE631" s="2"/>
    </row>
    <row r="632" ht="15.75" customHeight="1">
      <c r="A632" s="2">
        <v>632.0</v>
      </c>
      <c r="B632" s="2" t="s">
        <v>2047</v>
      </c>
      <c r="C632" s="2" t="s">
        <v>2048</v>
      </c>
      <c r="D632" s="2" t="s">
        <v>33</v>
      </c>
      <c r="E632" s="2" t="s">
        <v>70</v>
      </c>
      <c r="F632" s="2" t="s">
        <v>35</v>
      </c>
      <c r="G632" s="2"/>
      <c r="H632" s="2" t="s">
        <v>70</v>
      </c>
      <c r="I632" s="2" t="s">
        <v>36</v>
      </c>
      <c r="J632" s="2" t="s">
        <v>2049</v>
      </c>
      <c r="K632" s="2" t="s">
        <v>757</v>
      </c>
      <c r="L632" s="2" t="s">
        <v>2050</v>
      </c>
      <c r="M632" s="2"/>
      <c r="N632" s="2" t="s">
        <v>91</v>
      </c>
      <c r="O632" s="2" t="s">
        <v>92</v>
      </c>
      <c r="P632" s="2" t="s">
        <v>757</v>
      </c>
      <c r="Q632" s="2" t="s">
        <v>2051</v>
      </c>
      <c r="R632" s="2"/>
      <c r="S632" s="2" t="s">
        <v>91</v>
      </c>
      <c r="T632" s="2" t="s">
        <v>926</v>
      </c>
      <c r="U632" s="2" t="s">
        <v>757</v>
      </c>
      <c r="V632" s="2" t="s">
        <v>2052</v>
      </c>
      <c r="W632" s="2"/>
      <c r="X632" s="2" t="s">
        <v>91</v>
      </c>
      <c r="Y632" s="2" t="s">
        <v>2053</v>
      </c>
      <c r="Z632" s="2" t="s">
        <v>757</v>
      </c>
      <c r="AA632" s="2"/>
      <c r="AB632" s="2"/>
      <c r="AC632" s="2"/>
      <c r="AD632" s="2"/>
      <c r="AE632" s="2"/>
    </row>
    <row r="633" ht="15.75" customHeight="1">
      <c r="A633" s="2">
        <v>633.0</v>
      </c>
      <c r="B633" s="2" t="s">
        <v>2047</v>
      </c>
      <c r="C633" s="2" t="s">
        <v>2048</v>
      </c>
      <c r="D633" s="2" t="s">
        <v>33</v>
      </c>
      <c r="E633" s="2" t="s">
        <v>70</v>
      </c>
      <c r="F633" s="2" t="s">
        <v>35</v>
      </c>
      <c r="G633" s="2"/>
      <c r="H633" s="2" t="s">
        <v>70</v>
      </c>
      <c r="I633" s="2" t="s">
        <v>36</v>
      </c>
      <c r="J633" s="2" t="s">
        <v>2049</v>
      </c>
      <c r="K633" s="2" t="s">
        <v>757</v>
      </c>
      <c r="L633" s="2" t="s">
        <v>2050</v>
      </c>
      <c r="M633" s="2"/>
      <c r="N633" s="2" t="s">
        <v>91</v>
      </c>
      <c r="O633" s="2" t="s">
        <v>92</v>
      </c>
      <c r="P633" s="2" t="s">
        <v>757</v>
      </c>
      <c r="Q633" s="2" t="s">
        <v>2051</v>
      </c>
      <c r="R633" s="2"/>
      <c r="S633" s="2" t="s">
        <v>91</v>
      </c>
      <c r="T633" s="2" t="s">
        <v>926</v>
      </c>
      <c r="U633" s="2" t="s">
        <v>757</v>
      </c>
      <c r="V633" s="2" t="s">
        <v>2052</v>
      </c>
      <c r="W633" s="2"/>
      <c r="X633" s="2" t="s">
        <v>91</v>
      </c>
      <c r="Y633" s="2" t="s">
        <v>2053</v>
      </c>
      <c r="Z633" s="2" t="s">
        <v>757</v>
      </c>
      <c r="AA633" s="2"/>
      <c r="AB633" s="2"/>
      <c r="AC633" s="2"/>
      <c r="AD633" s="2"/>
      <c r="AE633" s="2"/>
    </row>
    <row r="634" ht="15.75" customHeight="1">
      <c r="A634" s="2">
        <v>634.0</v>
      </c>
      <c r="B634" s="2" t="s">
        <v>2047</v>
      </c>
      <c r="C634" s="2" t="s">
        <v>2048</v>
      </c>
      <c r="D634" s="2" t="s">
        <v>33</v>
      </c>
      <c r="E634" s="2" t="s">
        <v>70</v>
      </c>
      <c r="F634" s="2" t="s">
        <v>35</v>
      </c>
      <c r="G634" s="2"/>
      <c r="H634" s="2" t="s">
        <v>70</v>
      </c>
      <c r="I634" s="2" t="s">
        <v>36</v>
      </c>
      <c r="J634" s="2" t="s">
        <v>2049</v>
      </c>
      <c r="K634" s="2" t="s">
        <v>757</v>
      </c>
      <c r="L634" s="2" t="s">
        <v>2050</v>
      </c>
      <c r="M634" s="2"/>
      <c r="N634" s="2" t="s">
        <v>91</v>
      </c>
      <c r="O634" s="2" t="s">
        <v>92</v>
      </c>
      <c r="P634" s="2" t="s">
        <v>757</v>
      </c>
      <c r="Q634" s="2" t="s">
        <v>2051</v>
      </c>
      <c r="R634" s="2"/>
      <c r="S634" s="2" t="s">
        <v>91</v>
      </c>
      <c r="T634" s="2" t="s">
        <v>926</v>
      </c>
      <c r="U634" s="2" t="s">
        <v>757</v>
      </c>
      <c r="V634" s="2" t="s">
        <v>2052</v>
      </c>
      <c r="W634" s="2"/>
      <c r="X634" s="2" t="s">
        <v>91</v>
      </c>
      <c r="Y634" s="2" t="s">
        <v>2053</v>
      </c>
      <c r="Z634" s="2" t="s">
        <v>757</v>
      </c>
      <c r="AA634" s="2"/>
      <c r="AB634" s="2"/>
      <c r="AC634" s="2"/>
      <c r="AD634" s="2"/>
      <c r="AE634" s="2"/>
    </row>
    <row r="635" ht="15.75" customHeight="1">
      <c r="A635" s="2">
        <v>635.0</v>
      </c>
      <c r="B635" s="2" t="s">
        <v>2047</v>
      </c>
      <c r="C635" s="2" t="s">
        <v>2048</v>
      </c>
      <c r="D635" s="2" t="s">
        <v>33</v>
      </c>
      <c r="E635" s="2" t="s">
        <v>70</v>
      </c>
      <c r="F635" s="2" t="s">
        <v>35</v>
      </c>
      <c r="G635" s="2"/>
      <c r="H635" s="2" t="s">
        <v>70</v>
      </c>
      <c r="I635" s="2" t="s">
        <v>36</v>
      </c>
      <c r="J635" s="2" t="s">
        <v>2049</v>
      </c>
      <c r="K635" s="2" t="s">
        <v>757</v>
      </c>
      <c r="L635" s="2" t="s">
        <v>2050</v>
      </c>
      <c r="M635" s="2"/>
      <c r="N635" s="2" t="s">
        <v>91</v>
      </c>
      <c r="O635" s="2" t="s">
        <v>92</v>
      </c>
      <c r="P635" s="2" t="s">
        <v>757</v>
      </c>
      <c r="Q635" s="2" t="s">
        <v>2051</v>
      </c>
      <c r="R635" s="2"/>
      <c r="S635" s="2" t="s">
        <v>91</v>
      </c>
      <c r="T635" s="2" t="s">
        <v>926</v>
      </c>
      <c r="U635" s="2" t="s">
        <v>757</v>
      </c>
      <c r="V635" s="2" t="s">
        <v>2052</v>
      </c>
      <c r="W635" s="2"/>
      <c r="X635" s="2" t="s">
        <v>91</v>
      </c>
      <c r="Y635" s="2" t="s">
        <v>2053</v>
      </c>
      <c r="Z635" s="2" t="s">
        <v>757</v>
      </c>
      <c r="AA635" s="2"/>
      <c r="AB635" s="2"/>
      <c r="AC635" s="2"/>
      <c r="AD635" s="2"/>
      <c r="AE635" s="2"/>
    </row>
    <row r="636" ht="15.75" customHeight="1">
      <c r="A636" s="2">
        <v>636.0</v>
      </c>
      <c r="B636" s="2" t="s">
        <v>2054</v>
      </c>
      <c r="C636" s="2" t="s">
        <v>2055</v>
      </c>
      <c r="D636" s="2" t="s">
        <v>33</v>
      </c>
      <c r="E636" s="2" t="s">
        <v>70</v>
      </c>
      <c r="F636" s="2" t="s">
        <v>35</v>
      </c>
      <c r="G636" s="2"/>
      <c r="H636" s="2" t="s">
        <v>70</v>
      </c>
      <c r="I636" s="2" t="s">
        <v>36</v>
      </c>
      <c r="J636" s="2" t="s">
        <v>2056</v>
      </c>
      <c r="K636" s="4" t="str">
        <f>HYPERLINK("https://books.google.com/books/about/Elementos_de_física_esperimental_y_de_m.html?id=0kh6O8GLfbEC","Abrir enlace")</f>
        <v>Abrir enlace</v>
      </c>
      <c r="L636" s="2" t="s">
        <v>2057</v>
      </c>
      <c r="M636" s="2"/>
      <c r="N636" s="2" t="s">
        <v>91</v>
      </c>
      <c r="O636" s="2" t="s">
        <v>2058</v>
      </c>
      <c r="P636" s="4" t="str">
        <f>HYPERLINK("https://books.google.com/books/about/Elementos_de_física_esperimental_y_de_m.html?id=0kh6O8GLfbEC","Abrir enlace")</f>
        <v>Abrir enlace</v>
      </c>
      <c r="Q636" s="2" t="s">
        <v>2059</v>
      </c>
      <c r="R636" s="2"/>
      <c r="S636" s="2" t="s">
        <v>91</v>
      </c>
      <c r="T636" s="2" t="s">
        <v>2060</v>
      </c>
      <c r="U636" s="4" t="str">
        <f>HYPERLINK("https://www.todocoleccion.net/libros-antiguos-ciencias/elementos-fisica-esperimental-meteorologia-tomo-2-m-pouillet-brusi-1841-32-laminas~x634310259","Abrir enlace")</f>
        <v>Abrir enlace</v>
      </c>
      <c r="V636" s="2" t="s">
        <v>2061</v>
      </c>
      <c r="W636" s="2"/>
      <c r="X636" s="2" t="s">
        <v>91</v>
      </c>
      <c r="Y636" s="2" t="s">
        <v>2062</v>
      </c>
      <c r="Z636" s="4" t="str">
        <f>HYPERLINK("https://archive.org/details/lmentsdephysiqu01mathgoog","Abrir enlace")</f>
        <v>Abrir enlace</v>
      </c>
      <c r="AA636" s="2"/>
      <c r="AB636" s="2"/>
      <c r="AC636" s="2"/>
      <c r="AD636" s="2"/>
      <c r="AE636" s="2"/>
    </row>
    <row r="637" ht="15.75" customHeight="1">
      <c r="A637" s="2">
        <v>637.0</v>
      </c>
      <c r="B637" s="2" t="s">
        <v>2054</v>
      </c>
      <c r="C637" s="2" t="s">
        <v>2055</v>
      </c>
      <c r="D637" s="2" t="s">
        <v>33</v>
      </c>
      <c r="E637" s="2" t="s">
        <v>70</v>
      </c>
      <c r="F637" s="2" t="s">
        <v>35</v>
      </c>
      <c r="G637" s="2"/>
      <c r="H637" s="2" t="s">
        <v>70</v>
      </c>
      <c r="I637" s="2" t="s">
        <v>36</v>
      </c>
      <c r="J637" s="2" t="s">
        <v>2056</v>
      </c>
      <c r="K637" s="2" t="s">
        <v>757</v>
      </c>
      <c r="L637" s="2" t="s">
        <v>2057</v>
      </c>
      <c r="M637" s="2"/>
      <c r="N637" s="2" t="s">
        <v>91</v>
      </c>
      <c r="O637" s="2" t="s">
        <v>2058</v>
      </c>
      <c r="P637" s="2" t="s">
        <v>757</v>
      </c>
      <c r="Q637" s="2" t="s">
        <v>2059</v>
      </c>
      <c r="R637" s="2"/>
      <c r="S637" s="2" t="s">
        <v>91</v>
      </c>
      <c r="T637" s="2" t="s">
        <v>2060</v>
      </c>
      <c r="U637" s="2" t="s">
        <v>757</v>
      </c>
      <c r="V637" s="2" t="s">
        <v>2061</v>
      </c>
      <c r="W637" s="2"/>
      <c r="X637" s="2" t="s">
        <v>91</v>
      </c>
      <c r="Y637" s="2" t="s">
        <v>2062</v>
      </c>
      <c r="Z637" s="2" t="s">
        <v>757</v>
      </c>
      <c r="AA637" s="2"/>
      <c r="AB637" s="2"/>
      <c r="AC637" s="2"/>
      <c r="AD637" s="2"/>
      <c r="AE637" s="2"/>
    </row>
    <row r="638" ht="15.75" customHeight="1">
      <c r="A638" s="2">
        <v>638.0</v>
      </c>
      <c r="B638" s="2" t="s">
        <v>2063</v>
      </c>
      <c r="C638" s="2" t="s">
        <v>2064</v>
      </c>
      <c r="D638" s="2" t="s">
        <v>33</v>
      </c>
      <c r="E638" s="2" t="s">
        <v>70</v>
      </c>
      <c r="F638" s="2" t="s">
        <v>35</v>
      </c>
      <c r="G638" s="2"/>
      <c r="H638" s="2" t="s">
        <v>70</v>
      </c>
      <c r="I638" s="2" t="s">
        <v>36</v>
      </c>
      <c r="J638" s="2" t="s">
        <v>2065</v>
      </c>
      <c r="K638" s="4" t="str">
        <f>HYPERLINK("https://books.google.com/books/about/Traité_de_pathologie_interne.html?id=Rc5t_MSCWSAC","Abrir enlace")</f>
        <v>Abrir enlace</v>
      </c>
      <c r="L638" s="2" t="s">
        <v>2066</v>
      </c>
      <c r="M638" s="2"/>
      <c r="N638" s="2" t="s">
        <v>91</v>
      </c>
      <c r="O638" s="2" t="s">
        <v>2067</v>
      </c>
      <c r="P638" s="4" t="str">
        <f>HYPERLINK("https://books.google.com/books/about/Traité_de_pathologie_interne.html?id=Rc5t_MSCWSAC","Abrir enlace")</f>
        <v>Abrir enlace</v>
      </c>
      <c r="Q638" s="2" t="s">
        <v>2068</v>
      </c>
      <c r="R638" s="2"/>
      <c r="S638" s="2" t="s">
        <v>91</v>
      </c>
      <c r="T638" s="2" t="s">
        <v>1255</v>
      </c>
      <c r="U638" s="4" t="str">
        <f>HYPERLINK("https://gallica.bnf.fr/ark:/12148/bpt6k765487/f8.texteImage","Abrir enlace")</f>
        <v>Abrir enlace</v>
      </c>
      <c r="V638" s="2" t="s">
        <v>2069</v>
      </c>
      <c r="W638" s="2"/>
      <c r="X638" s="2" t="s">
        <v>91</v>
      </c>
      <c r="Y638" s="2" t="s">
        <v>1071</v>
      </c>
      <c r="Z638" s="4" t="str">
        <f>HYPERLINK("https://archive.org/details/traitedepatholo00sjagoog","Abrir enlace")</f>
        <v>Abrir enlace</v>
      </c>
      <c r="AA638" s="2"/>
      <c r="AB638" s="2"/>
      <c r="AC638" s="2"/>
      <c r="AD638" s="2"/>
      <c r="AE638" s="2"/>
    </row>
    <row r="639" ht="15.75" customHeight="1">
      <c r="A639" s="2">
        <v>639.0</v>
      </c>
      <c r="B639" s="2" t="s">
        <v>2070</v>
      </c>
      <c r="C639" s="2" t="s">
        <v>2071</v>
      </c>
      <c r="D639" s="2" t="s">
        <v>33</v>
      </c>
      <c r="E639" s="2" t="s">
        <v>112</v>
      </c>
      <c r="F639" s="2" t="s">
        <v>35</v>
      </c>
      <c r="G639" s="2"/>
      <c r="H639" s="2" t="s">
        <v>112</v>
      </c>
      <c r="I639" s="2" t="s">
        <v>36</v>
      </c>
      <c r="J639" s="2" t="s">
        <v>2072</v>
      </c>
      <c r="K639" s="4" t="str">
        <f>HYPERLINK("https://book1.es/consideraciones-sobre-las-verdades-y-los-deberes-cristianos-compendiadas-en-meditaciones-para-cada-dia-del-ano-vol-2-del","Abrir enlace")</f>
        <v>Abrir enlace</v>
      </c>
      <c r="L639" s="2" t="s">
        <v>2073</v>
      </c>
      <c r="M639" s="2"/>
      <c r="N639" s="2" t="s">
        <v>91</v>
      </c>
      <c r="O639" s="2" t="s">
        <v>1755</v>
      </c>
      <c r="P639" s="4" t="str">
        <f>HYPERLINK("https://book1.es/consideraciones-sobre-las-verdades-y-los-deberes-cristianos-compendiadas-en-meditaciones-para-cada-dia-del-ano-vol-2-del","Abrir enlace")</f>
        <v>Abrir enlace</v>
      </c>
      <c r="Q639" s="2" t="s">
        <v>2074</v>
      </c>
      <c r="R639" s="2"/>
      <c r="S639" s="2" t="s">
        <v>91</v>
      </c>
      <c r="T639" s="2" t="s">
        <v>2075</v>
      </c>
      <c r="U639" s="4" t="str">
        <f>HYPERLINK("https://archive.org/details/MN5108ucmf_1","Abrir enlace")</f>
        <v>Abrir enlace</v>
      </c>
      <c r="V639" s="2" t="s">
        <v>2076</v>
      </c>
      <c r="W639" s="2"/>
      <c r="X639" s="2" t="s">
        <v>91</v>
      </c>
      <c r="Y639" s="2" t="s">
        <v>2077</v>
      </c>
      <c r="Z639" s="4" t="str">
        <f>HYPERLINK("https://datos.bne.es/persona/XX1243302.html","Abrir enlace")</f>
        <v>Abrir enlace</v>
      </c>
      <c r="AA639" s="2"/>
      <c r="AB639" s="2"/>
      <c r="AC639" s="2"/>
      <c r="AD639" s="2"/>
      <c r="AE639" s="2"/>
    </row>
    <row r="640" ht="15.75" customHeight="1">
      <c r="A640" s="2">
        <v>640.0</v>
      </c>
      <c r="B640" s="2" t="s">
        <v>62</v>
      </c>
      <c r="C640" s="2" t="s">
        <v>2078</v>
      </c>
      <c r="D640" s="2" t="s">
        <v>33</v>
      </c>
      <c r="E640" s="2" t="s">
        <v>64</v>
      </c>
      <c r="F640" s="2" t="s">
        <v>35</v>
      </c>
      <c r="G640" s="2"/>
      <c r="H640" s="2" t="s">
        <v>64</v>
      </c>
      <c r="I640" s="2" t="s">
        <v>36</v>
      </c>
      <c r="J640" s="2" t="s">
        <v>2079</v>
      </c>
      <c r="K640" s="4" t="str">
        <f>HYPERLINK("https://openlibrary.org/works/OL19766337W","Abrir enlace")</f>
        <v>Abrir enlace</v>
      </c>
      <c r="L640" s="2" t="s">
        <v>2080</v>
      </c>
      <c r="M640" s="2" t="s">
        <v>2081</v>
      </c>
      <c r="N640" s="2" t="s">
        <v>45</v>
      </c>
      <c r="O640" s="2" t="s">
        <v>2082</v>
      </c>
      <c r="P640" s="4" t="str">
        <f>HYPERLINK("https://openlibrary.org/works/OL19766337W","Abrir enlace")</f>
        <v>Abrir enlace</v>
      </c>
      <c r="Q640" s="2" t="s">
        <v>2083</v>
      </c>
      <c r="R640" s="2" t="s">
        <v>2081</v>
      </c>
      <c r="S640" s="2" t="s">
        <v>45</v>
      </c>
      <c r="T640" s="2" t="s">
        <v>1779</v>
      </c>
      <c r="U640" s="4" t="str">
        <f>HYPERLINK("https://openlibrary.org/works/OL3408882W","Abrir enlace")</f>
        <v>Abrir enlace</v>
      </c>
      <c r="V640" s="2" t="s">
        <v>2084</v>
      </c>
      <c r="W640" s="2" t="s">
        <v>2085</v>
      </c>
      <c r="X640" s="2" t="s">
        <v>45</v>
      </c>
      <c r="Y640" s="2" t="s">
        <v>1341</v>
      </c>
      <c r="Z640" s="4" t="str">
        <f>HYPERLINK("https://openlibrary.org/works/OL766052W","Abrir enlace")</f>
        <v>Abrir enlace</v>
      </c>
      <c r="AA640" s="2"/>
      <c r="AB640" s="2"/>
      <c r="AC640" s="2"/>
      <c r="AD640" s="2"/>
      <c r="AE640" s="2"/>
    </row>
    <row r="641" ht="15.75" customHeight="1">
      <c r="A641" s="2">
        <v>641.0</v>
      </c>
      <c r="B641" s="2" t="s">
        <v>62</v>
      </c>
      <c r="C641" s="2" t="s">
        <v>2078</v>
      </c>
      <c r="D641" s="2" t="s">
        <v>33</v>
      </c>
      <c r="E641" s="2" t="s">
        <v>64</v>
      </c>
      <c r="F641" s="2" t="s">
        <v>35</v>
      </c>
      <c r="G641" s="2"/>
      <c r="H641" s="2" t="s">
        <v>64</v>
      </c>
      <c r="I641" s="2" t="s">
        <v>36</v>
      </c>
      <c r="J641" s="2" t="s">
        <v>2079</v>
      </c>
      <c r="K641" s="2" t="s">
        <v>757</v>
      </c>
      <c r="L641" s="2" t="s">
        <v>2080</v>
      </c>
      <c r="M641" s="2" t="s">
        <v>2081</v>
      </c>
      <c r="N641" s="2" t="s">
        <v>45</v>
      </c>
      <c r="O641" s="2" t="s">
        <v>2082</v>
      </c>
      <c r="P641" s="2" t="s">
        <v>757</v>
      </c>
      <c r="Q641" s="2" t="s">
        <v>2083</v>
      </c>
      <c r="R641" s="2" t="s">
        <v>2081</v>
      </c>
      <c r="S641" s="2" t="s">
        <v>45</v>
      </c>
      <c r="T641" s="2" t="s">
        <v>1779</v>
      </c>
      <c r="U641" s="2" t="s">
        <v>757</v>
      </c>
      <c r="V641" s="2" t="s">
        <v>2084</v>
      </c>
      <c r="W641" s="2" t="s">
        <v>2085</v>
      </c>
      <c r="X641" s="2" t="s">
        <v>45</v>
      </c>
      <c r="Y641" s="2" t="s">
        <v>1341</v>
      </c>
      <c r="Z641" s="2" t="s">
        <v>757</v>
      </c>
      <c r="AA641" s="2"/>
      <c r="AB641" s="2"/>
      <c r="AC641" s="2"/>
      <c r="AD641" s="2"/>
      <c r="AE641" s="2"/>
    </row>
    <row r="642" ht="15.75" customHeight="1">
      <c r="A642" s="2">
        <v>642.0</v>
      </c>
      <c r="B642" s="2" t="s">
        <v>2086</v>
      </c>
      <c r="C642" s="2" t="s">
        <v>2087</v>
      </c>
      <c r="D642" s="2" t="s">
        <v>33</v>
      </c>
      <c r="E642" s="2" t="s">
        <v>34</v>
      </c>
      <c r="F642" s="3" t="s">
        <v>35</v>
      </c>
      <c r="G642" s="2"/>
      <c r="H642" s="2" t="s">
        <v>34</v>
      </c>
      <c r="I642" s="2" t="s">
        <v>36</v>
      </c>
      <c r="J642" s="2" t="s">
        <v>37</v>
      </c>
      <c r="K642" s="4" t="str">
        <f>HYPERLINK("https://archive.org/details/isbn_9781425549626","Abrir enlace")</f>
        <v>Abrir enlace</v>
      </c>
      <c r="L642" s="2" t="s">
        <v>2088</v>
      </c>
      <c r="M642" s="2"/>
      <c r="N642" s="2" t="s">
        <v>54</v>
      </c>
      <c r="O642" s="2"/>
      <c r="P642" s="4" t="str">
        <f>HYPERLINK("https://archive.org/details/isbn_9781425549626","Abrir enlace")</f>
        <v>Abrir enlace</v>
      </c>
      <c r="Q642" s="2"/>
      <c r="R642" s="2"/>
      <c r="S642" s="2"/>
      <c r="T642" s="2"/>
      <c r="U642" s="2"/>
      <c r="V642" s="2"/>
      <c r="W642" s="2"/>
      <c r="X642" s="2"/>
      <c r="Y642" s="2"/>
      <c r="Z642" s="2"/>
      <c r="AA642" s="2" t="s">
        <v>66</v>
      </c>
      <c r="AB642" s="2" t="s">
        <v>41</v>
      </c>
      <c r="AC642" s="2"/>
      <c r="AD642" s="2"/>
      <c r="AE642" s="2"/>
    </row>
    <row r="643" ht="15.75" customHeight="1">
      <c r="A643" s="2">
        <v>643.0</v>
      </c>
      <c r="B643" s="2" t="s">
        <v>2089</v>
      </c>
      <c r="C643" s="2"/>
      <c r="D643" s="2" t="s">
        <v>49</v>
      </c>
      <c r="E643" s="2" t="s">
        <v>34</v>
      </c>
      <c r="F643" s="3" t="s">
        <v>35</v>
      </c>
      <c r="G643" s="2"/>
      <c r="H643" s="2" t="s">
        <v>34</v>
      </c>
      <c r="I643" s="2" t="s">
        <v>36</v>
      </c>
      <c r="J643" s="2" t="s">
        <v>37</v>
      </c>
      <c r="K643" s="4" t="str">
        <f t="shared" ref="K643:K645" si="79">HYPERLINK("https://openlibrary.org/works/OL12232016W","Abrir enlace")</f>
        <v>Abrir enlace</v>
      </c>
      <c r="L643" s="2" t="s">
        <v>2090</v>
      </c>
      <c r="M643" s="2"/>
      <c r="N643" s="2" t="s">
        <v>45</v>
      </c>
      <c r="O643" s="2"/>
      <c r="P643" s="4" t="str">
        <f t="shared" ref="P643:P645" si="80">HYPERLINK("https://openlibrary.org/works/OL12232016W","Abrir enlace")</f>
        <v>Abrir enlace</v>
      </c>
      <c r="Q643" s="2"/>
      <c r="R643" s="2"/>
      <c r="S643" s="2"/>
      <c r="T643" s="2"/>
      <c r="U643" s="2"/>
      <c r="V643" s="2"/>
      <c r="W643" s="2"/>
      <c r="X643" s="2"/>
      <c r="Y643" s="2"/>
      <c r="Z643" s="2"/>
      <c r="AA643" s="2" t="s">
        <v>51</v>
      </c>
      <c r="AB643" s="2" t="s">
        <v>41</v>
      </c>
      <c r="AC643" s="2"/>
      <c r="AD643" s="2"/>
      <c r="AE643" s="2"/>
    </row>
    <row r="644" ht="15.75" customHeight="1">
      <c r="A644" s="2">
        <v>644.0</v>
      </c>
      <c r="B644" s="2" t="s">
        <v>2089</v>
      </c>
      <c r="C644" s="2"/>
      <c r="D644" s="2" t="s">
        <v>49</v>
      </c>
      <c r="E644" s="2" t="s">
        <v>34</v>
      </c>
      <c r="F644" s="3" t="s">
        <v>35</v>
      </c>
      <c r="G644" s="2"/>
      <c r="H644" s="2" t="s">
        <v>34</v>
      </c>
      <c r="I644" s="2" t="s">
        <v>36</v>
      </c>
      <c r="J644" s="2" t="s">
        <v>37</v>
      </c>
      <c r="K644" s="4" t="str">
        <f t="shared" si="79"/>
        <v>Abrir enlace</v>
      </c>
      <c r="L644" s="2" t="s">
        <v>2090</v>
      </c>
      <c r="M644" s="2"/>
      <c r="N644" s="2" t="s">
        <v>45</v>
      </c>
      <c r="O644" s="2"/>
      <c r="P644" s="4" t="str">
        <f t="shared" si="80"/>
        <v>Abrir enlace</v>
      </c>
      <c r="Q644" s="2"/>
      <c r="R644" s="2"/>
      <c r="S644" s="2"/>
      <c r="T644" s="2"/>
      <c r="U644" s="2"/>
      <c r="V644" s="2"/>
      <c r="W644" s="2"/>
      <c r="X644" s="2"/>
      <c r="Y644" s="2"/>
      <c r="Z644" s="2"/>
      <c r="AA644" s="2" t="s">
        <v>51</v>
      </c>
      <c r="AB644" s="2" t="s">
        <v>41</v>
      </c>
      <c r="AC644" s="2"/>
      <c r="AD644" s="2"/>
      <c r="AE644" s="2"/>
    </row>
    <row r="645" ht="15.75" customHeight="1">
      <c r="A645" s="2">
        <v>645.0</v>
      </c>
      <c r="B645" s="2" t="s">
        <v>2089</v>
      </c>
      <c r="C645" s="2"/>
      <c r="D645" s="2" t="s">
        <v>49</v>
      </c>
      <c r="E645" s="2" t="s">
        <v>34</v>
      </c>
      <c r="F645" s="3" t="s">
        <v>35</v>
      </c>
      <c r="G645" s="2"/>
      <c r="H645" s="2" t="s">
        <v>34</v>
      </c>
      <c r="I645" s="2" t="s">
        <v>36</v>
      </c>
      <c r="J645" s="2" t="s">
        <v>37</v>
      </c>
      <c r="K645" s="4" t="str">
        <f t="shared" si="79"/>
        <v>Abrir enlace</v>
      </c>
      <c r="L645" s="2" t="s">
        <v>2090</v>
      </c>
      <c r="M645" s="2"/>
      <c r="N645" s="2" t="s">
        <v>45</v>
      </c>
      <c r="O645" s="2"/>
      <c r="P645" s="4" t="str">
        <f t="shared" si="80"/>
        <v>Abrir enlace</v>
      </c>
      <c r="Q645" s="2"/>
      <c r="R645" s="2"/>
      <c r="S645" s="2"/>
      <c r="T645" s="2"/>
      <c r="U645" s="2"/>
      <c r="V645" s="2"/>
      <c r="W645" s="2"/>
      <c r="X645" s="2"/>
      <c r="Y645" s="2"/>
      <c r="Z645" s="2"/>
      <c r="AA645" s="2" t="s">
        <v>51</v>
      </c>
      <c r="AB645" s="2" t="s">
        <v>41</v>
      </c>
      <c r="AC645" s="2"/>
      <c r="AD645" s="2"/>
      <c r="AE645" s="2"/>
    </row>
    <row r="646" ht="15.75" customHeight="1">
      <c r="A646" s="2">
        <v>646.0</v>
      </c>
      <c r="B646" s="2" t="s">
        <v>2091</v>
      </c>
      <c r="C646" s="2" t="s">
        <v>2092</v>
      </c>
      <c r="D646" s="2" t="s">
        <v>33</v>
      </c>
      <c r="E646" s="2" t="s">
        <v>64</v>
      </c>
      <c r="F646" s="3" t="s">
        <v>35</v>
      </c>
      <c r="G646" s="2"/>
      <c r="H646" s="2" t="s">
        <v>64</v>
      </c>
      <c r="I646" s="2" t="s">
        <v>36</v>
      </c>
      <c r="J646" s="2" t="s">
        <v>37</v>
      </c>
      <c r="K646" s="4" t="str">
        <f>HYPERLINK("https://openlibrary.org/works/OL37525174W","Abrir enlace")</f>
        <v>Abrir enlace</v>
      </c>
      <c r="L646" s="2" t="s">
        <v>2093</v>
      </c>
      <c r="M646" s="2"/>
      <c r="N646" s="2" t="s">
        <v>45</v>
      </c>
      <c r="O646" s="2"/>
      <c r="P646" s="4" t="str">
        <f>HYPERLINK("https://openlibrary.org/works/OL37525174W","Abrir enlace")</f>
        <v>Abrir enlace</v>
      </c>
      <c r="Q646" s="2"/>
      <c r="R646" s="2"/>
      <c r="S646" s="2"/>
      <c r="T646" s="2"/>
      <c r="U646" s="2"/>
      <c r="V646" s="2"/>
      <c r="W646" s="2"/>
      <c r="X646" s="2"/>
      <c r="Y646" s="2"/>
      <c r="Z646" s="2"/>
      <c r="AA646" s="2" t="s">
        <v>51</v>
      </c>
      <c r="AB646" s="2" t="s">
        <v>67</v>
      </c>
      <c r="AC646" s="2"/>
      <c r="AD646" s="2"/>
      <c r="AE646" s="2"/>
    </row>
    <row r="647" ht="15.75" customHeight="1">
      <c r="A647" s="2">
        <v>647.0</v>
      </c>
      <c r="B647" s="2" t="s">
        <v>2094</v>
      </c>
      <c r="C647" s="2" t="s">
        <v>2092</v>
      </c>
      <c r="D647" s="2" t="s">
        <v>33</v>
      </c>
      <c r="E647" s="2" t="s">
        <v>64</v>
      </c>
      <c r="F647" s="3" t="s">
        <v>35</v>
      </c>
      <c r="G647" s="2"/>
      <c r="H647" s="2" t="s">
        <v>64</v>
      </c>
      <c r="I647" s="2" t="s">
        <v>36</v>
      </c>
      <c r="J647" s="2" t="s">
        <v>37</v>
      </c>
      <c r="K647" s="4" t="str">
        <f t="shared" ref="K647:K648" si="81">HYPERLINK("https://openlibrary.org/works/OL37689483W","Abrir enlace")</f>
        <v>Abrir enlace</v>
      </c>
      <c r="L647" s="2" t="s">
        <v>2095</v>
      </c>
      <c r="M647" s="2"/>
      <c r="N647" s="2" t="s">
        <v>45</v>
      </c>
      <c r="O647" s="2"/>
      <c r="P647" s="4" t="str">
        <f t="shared" ref="P647:P648" si="82">HYPERLINK("https://openlibrary.org/works/OL37689483W","Abrir enlace")</f>
        <v>Abrir enlace</v>
      </c>
      <c r="Q647" s="2"/>
      <c r="R647" s="2"/>
      <c r="S647" s="2"/>
      <c r="T647" s="2"/>
      <c r="U647" s="2"/>
      <c r="V647" s="2"/>
      <c r="W647" s="2"/>
      <c r="X647" s="2"/>
      <c r="Y647" s="2"/>
      <c r="Z647" s="2"/>
      <c r="AA647" s="2" t="s">
        <v>51</v>
      </c>
      <c r="AB647" s="2" t="s">
        <v>67</v>
      </c>
      <c r="AC647" s="2"/>
      <c r="AD647" s="2"/>
      <c r="AE647" s="2"/>
    </row>
    <row r="648" ht="15.75" customHeight="1">
      <c r="A648" s="2">
        <v>648.0</v>
      </c>
      <c r="B648" s="2" t="s">
        <v>2094</v>
      </c>
      <c r="C648" s="2" t="s">
        <v>2092</v>
      </c>
      <c r="D648" s="2" t="s">
        <v>33</v>
      </c>
      <c r="E648" s="2" t="s">
        <v>64</v>
      </c>
      <c r="F648" s="3" t="s">
        <v>35</v>
      </c>
      <c r="G648" s="2"/>
      <c r="H648" s="2" t="s">
        <v>64</v>
      </c>
      <c r="I648" s="2" t="s">
        <v>36</v>
      </c>
      <c r="J648" s="2" t="s">
        <v>37</v>
      </c>
      <c r="K648" s="4" t="str">
        <f t="shared" si="81"/>
        <v>Abrir enlace</v>
      </c>
      <c r="L648" s="2" t="s">
        <v>2095</v>
      </c>
      <c r="M648" s="2"/>
      <c r="N648" s="2" t="s">
        <v>45</v>
      </c>
      <c r="O648" s="2"/>
      <c r="P648" s="4" t="str">
        <f t="shared" si="82"/>
        <v>Abrir enlace</v>
      </c>
      <c r="Q648" s="2"/>
      <c r="R648" s="2"/>
      <c r="S648" s="2"/>
      <c r="T648" s="2"/>
      <c r="U648" s="2"/>
      <c r="V648" s="2"/>
      <c r="W648" s="2"/>
      <c r="X648" s="2"/>
      <c r="Y648" s="2"/>
      <c r="Z648" s="2"/>
      <c r="AA648" s="2" t="s">
        <v>51</v>
      </c>
      <c r="AB648" s="2" t="s">
        <v>67</v>
      </c>
      <c r="AC648" s="2"/>
      <c r="AD648" s="2"/>
      <c r="AE648" s="2"/>
    </row>
    <row r="649" ht="15.75" customHeight="1">
      <c r="A649" s="2">
        <v>649.0</v>
      </c>
      <c r="B649" s="2" t="s">
        <v>2096</v>
      </c>
      <c r="C649" s="2" t="s">
        <v>2097</v>
      </c>
      <c r="D649" s="2" t="s">
        <v>33</v>
      </c>
      <c r="E649" s="2" t="s">
        <v>64</v>
      </c>
      <c r="F649" s="3" t="s">
        <v>35</v>
      </c>
      <c r="G649" s="2"/>
      <c r="H649" s="2" t="s">
        <v>64</v>
      </c>
      <c r="I649" s="2" t="s">
        <v>36</v>
      </c>
      <c r="J649" s="2" t="s">
        <v>2098</v>
      </c>
      <c r="K649" s="4" t="str">
        <f t="shared" ref="K649:K650" si="83">HYPERLINK("https://archive.org/details/essaisurlloquen06maurgoog","Abrir enlace")</f>
        <v>Abrir enlace</v>
      </c>
      <c r="L649" s="2" t="s">
        <v>2099</v>
      </c>
      <c r="M649" s="2"/>
      <c r="N649" s="2" t="s">
        <v>54</v>
      </c>
      <c r="O649" s="2"/>
      <c r="P649" s="4" t="str">
        <f t="shared" ref="P649:P650" si="84">HYPERLINK("https://archive.org/details/essaisurlloquen06maurgoog","Abrir enlace")</f>
        <v>Abrir enlace</v>
      </c>
      <c r="Q649" s="2"/>
      <c r="R649" s="2"/>
      <c r="S649" s="2"/>
      <c r="T649" s="2"/>
      <c r="U649" s="2"/>
      <c r="V649" s="2"/>
      <c r="W649" s="2"/>
      <c r="X649" s="2"/>
      <c r="Y649" s="2"/>
      <c r="Z649" s="2"/>
      <c r="AA649" s="2" t="s">
        <v>40</v>
      </c>
      <c r="AB649" s="2" t="s">
        <v>2100</v>
      </c>
      <c r="AC649" s="2"/>
      <c r="AD649" s="2"/>
      <c r="AE649" s="2"/>
    </row>
    <row r="650" ht="15.75" customHeight="1">
      <c r="A650" s="2">
        <v>650.0</v>
      </c>
      <c r="B650" s="2" t="s">
        <v>2096</v>
      </c>
      <c r="C650" s="2" t="s">
        <v>2097</v>
      </c>
      <c r="D650" s="2" t="s">
        <v>33</v>
      </c>
      <c r="E650" s="2" t="s">
        <v>64</v>
      </c>
      <c r="F650" s="3" t="s">
        <v>35</v>
      </c>
      <c r="G650" s="2"/>
      <c r="H650" s="2" t="s">
        <v>64</v>
      </c>
      <c r="I650" s="2" t="s">
        <v>36</v>
      </c>
      <c r="J650" s="2" t="s">
        <v>2098</v>
      </c>
      <c r="K650" s="4" t="str">
        <f t="shared" si="83"/>
        <v>Abrir enlace</v>
      </c>
      <c r="L650" s="2" t="s">
        <v>2099</v>
      </c>
      <c r="M650" s="2"/>
      <c r="N650" s="2" t="s">
        <v>54</v>
      </c>
      <c r="O650" s="2"/>
      <c r="P650" s="4" t="str">
        <f t="shared" si="84"/>
        <v>Abrir enlace</v>
      </c>
      <c r="Q650" s="2"/>
      <c r="R650" s="2"/>
      <c r="S650" s="2"/>
      <c r="T650" s="2"/>
      <c r="U650" s="2"/>
      <c r="V650" s="2"/>
      <c r="W650" s="2"/>
      <c r="X650" s="2"/>
      <c r="Y650" s="2"/>
      <c r="Z650" s="2"/>
      <c r="AA650" s="2" t="s">
        <v>40</v>
      </c>
      <c r="AB650" s="2" t="s">
        <v>2100</v>
      </c>
      <c r="AC650" s="2"/>
      <c r="AD650" s="2"/>
      <c r="AE650" s="2"/>
    </row>
    <row r="651" ht="15.75" customHeight="1">
      <c r="A651" s="2">
        <v>651.0</v>
      </c>
      <c r="B651" s="2" t="s">
        <v>2101</v>
      </c>
      <c r="C651" s="2" t="s">
        <v>2102</v>
      </c>
      <c r="D651" s="2" t="s">
        <v>33</v>
      </c>
      <c r="E651" s="2" t="s">
        <v>64</v>
      </c>
      <c r="F651" s="3" t="s">
        <v>35</v>
      </c>
      <c r="G651" s="2"/>
      <c r="H651" s="2" t="s">
        <v>64</v>
      </c>
      <c r="I651" s="2" t="s">
        <v>36</v>
      </c>
      <c r="J651" s="2" t="s">
        <v>2103</v>
      </c>
      <c r="K651" s="4" t="str">
        <f>HYPERLINK("https://openlibrary.org/works/OL2255741W","Abrir enlace")</f>
        <v>Abrir enlace</v>
      </c>
      <c r="L651" s="2" t="s">
        <v>2104</v>
      </c>
      <c r="M651" s="2"/>
      <c r="N651" s="2" t="s">
        <v>45</v>
      </c>
      <c r="O651" s="2"/>
      <c r="P651" s="4" t="str">
        <f>HYPERLINK("https://openlibrary.org/works/OL2255741W","Abrir enlace")</f>
        <v>Abrir enlace</v>
      </c>
      <c r="Q651" s="2"/>
      <c r="R651" s="2"/>
      <c r="S651" s="2"/>
      <c r="T651" s="2"/>
      <c r="U651" s="2"/>
      <c r="V651" s="2"/>
      <c r="W651" s="2"/>
      <c r="X651" s="2"/>
      <c r="Y651" s="2"/>
      <c r="Z651" s="2"/>
      <c r="AA651" s="2" t="s">
        <v>51</v>
      </c>
      <c r="AB651" s="2" t="s">
        <v>150</v>
      </c>
      <c r="AC651" s="2"/>
      <c r="AD651" s="2"/>
      <c r="AE651" s="2"/>
    </row>
    <row r="652" ht="15.75" customHeight="1">
      <c r="A652" s="2">
        <v>652.0</v>
      </c>
      <c r="B652" s="2" t="s">
        <v>2105</v>
      </c>
      <c r="C652" s="2" t="s">
        <v>2106</v>
      </c>
      <c r="D652" s="2" t="s">
        <v>49</v>
      </c>
      <c r="E652" s="2" t="s">
        <v>34</v>
      </c>
      <c r="F652" s="3" t="s">
        <v>35</v>
      </c>
      <c r="G652" s="2"/>
      <c r="H652" s="2" t="s">
        <v>34</v>
      </c>
      <c r="I652" s="2" t="s">
        <v>36</v>
      </c>
      <c r="J652" s="2" t="s">
        <v>2107</v>
      </c>
      <c r="K652" s="4" t="str">
        <f>HYPERLINK("https://openlibrary.org/works/OL22238570W","Abrir enlace")</f>
        <v>Abrir enlace</v>
      </c>
      <c r="L652" s="2" t="s">
        <v>2108</v>
      </c>
      <c r="M652" s="2"/>
      <c r="N652" s="2" t="s">
        <v>45</v>
      </c>
      <c r="O652" s="2"/>
      <c r="P652" s="4" t="str">
        <f>HYPERLINK("https://openlibrary.org/works/OL22238570W","Abrir enlace")</f>
        <v>Abrir enlace</v>
      </c>
      <c r="Q652" s="2"/>
      <c r="R652" s="2"/>
      <c r="S652" s="2"/>
      <c r="T652" s="2"/>
      <c r="U652" s="2"/>
      <c r="V652" s="2"/>
      <c r="W652" s="2"/>
      <c r="X652" s="2"/>
      <c r="Y652" s="2"/>
      <c r="Z652" s="2"/>
      <c r="AA652" s="2" t="s">
        <v>46</v>
      </c>
      <c r="AB652" s="2" t="s">
        <v>2109</v>
      </c>
      <c r="AC652" s="2"/>
      <c r="AD652" s="2"/>
      <c r="AE652" s="2"/>
    </row>
    <row r="653" ht="15.75" customHeight="1">
      <c r="A653" s="2">
        <v>653.0</v>
      </c>
      <c r="B653" s="2" t="s">
        <v>2110</v>
      </c>
      <c r="C653" s="2"/>
      <c r="D653" s="2" t="s">
        <v>49</v>
      </c>
      <c r="E653" s="2" t="s">
        <v>112</v>
      </c>
      <c r="F653" s="3" t="s">
        <v>35</v>
      </c>
      <c r="G653" s="2"/>
      <c r="H653" s="2" t="s">
        <v>112</v>
      </c>
      <c r="I653" s="2" t="s">
        <v>36</v>
      </c>
      <c r="J653" s="2" t="s">
        <v>37</v>
      </c>
      <c r="K653" s="4" t="str">
        <f>HYPERLINK("https://archive.org/details/elevangelioentr04olavgoog","Abrir enlace")</f>
        <v>Abrir enlace</v>
      </c>
      <c r="L653" s="2" t="s">
        <v>2111</v>
      </c>
      <c r="M653" s="2"/>
      <c r="N653" s="2" t="s">
        <v>54</v>
      </c>
      <c r="O653" s="2"/>
      <c r="P653" s="4" t="str">
        <f>HYPERLINK("https://archive.org/details/elevangelioentr04olavgoog","Abrir enlace")</f>
        <v>Abrir enlace</v>
      </c>
      <c r="Q653" s="2"/>
      <c r="R653" s="2"/>
      <c r="S653" s="2"/>
      <c r="T653" s="2"/>
      <c r="U653" s="2"/>
      <c r="V653" s="2"/>
      <c r="W653" s="2"/>
      <c r="X653" s="2"/>
      <c r="Y653" s="2"/>
      <c r="Z653" s="2"/>
      <c r="AA653" s="2" t="s">
        <v>51</v>
      </c>
      <c r="AB653" s="2" t="s">
        <v>114</v>
      </c>
      <c r="AC653" s="2"/>
      <c r="AD653" s="2"/>
      <c r="AE653" s="2"/>
    </row>
    <row r="654" ht="15.75" customHeight="1">
      <c r="A654" s="2">
        <v>654.0</v>
      </c>
      <c r="B654" s="2" t="s">
        <v>2112</v>
      </c>
      <c r="C654" s="2" t="s">
        <v>2113</v>
      </c>
      <c r="D654" s="2" t="s">
        <v>33</v>
      </c>
      <c r="E654" s="2" t="s">
        <v>34</v>
      </c>
      <c r="F654" s="2" t="s">
        <v>35</v>
      </c>
      <c r="G654" s="2"/>
      <c r="H654" s="2" t="s">
        <v>34</v>
      </c>
      <c r="I654" s="2" t="s">
        <v>36</v>
      </c>
      <c r="J654" s="2" t="s">
        <v>2114</v>
      </c>
      <c r="K654" s="4" t="str">
        <f>HYPERLINK("https://books.google.com/books/about/The_Life_and_Times_of_Cardinal_Wiseman.html?id=5BYFAAAAYAAJ","Abrir enlace")</f>
        <v>Abrir enlace</v>
      </c>
      <c r="L654" s="2" t="s">
        <v>2115</v>
      </c>
      <c r="M654" s="2"/>
      <c r="N654" s="2" t="s">
        <v>91</v>
      </c>
      <c r="O654" s="2" t="s">
        <v>2082</v>
      </c>
      <c r="P654" s="4" t="str">
        <f>HYPERLINK("https://books.google.com/books/about/The_Life_and_Times_of_Cardinal_Wiseman.html?id=5BYFAAAAYAAJ","Abrir enlace")</f>
        <v>Abrir enlace</v>
      </c>
      <c r="Q654" s="2" t="s">
        <v>2116</v>
      </c>
      <c r="R654" s="2"/>
      <c r="S654" s="2" t="s">
        <v>91</v>
      </c>
      <c r="T654" s="2" t="s">
        <v>2117</v>
      </c>
      <c r="U654" s="4" t="str">
        <f>HYPERLINK("https://archiveshub.jisc.ac.uk/search/archives/5023a725-a31b-3bcd-a71e-68c84c003e9f","Abrir enlace")</f>
        <v>Abrir enlace</v>
      </c>
      <c r="V654" s="2" t="s">
        <v>2118</v>
      </c>
      <c r="W654" s="2"/>
      <c r="X654" s="2" t="s">
        <v>91</v>
      </c>
      <c r="Y654" s="2" t="s">
        <v>2119</v>
      </c>
      <c r="Z654" s="4" t="str">
        <f>HYPERLINK("https://www.amazon.com/Life-Times-Cardinal-Wiseman/dp/1148941282","Abrir enlace")</f>
        <v>Abrir enlace</v>
      </c>
      <c r="AA654" s="2"/>
      <c r="AB654" s="2"/>
      <c r="AC654" s="2"/>
      <c r="AD654" s="2"/>
      <c r="AE654" s="2"/>
    </row>
    <row r="655" ht="15.75" customHeight="1">
      <c r="A655" s="2">
        <v>655.0</v>
      </c>
      <c r="B655" s="2" t="s">
        <v>2120</v>
      </c>
      <c r="C655" s="2"/>
      <c r="D655" s="2" t="s">
        <v>33</v>
      </c>
      <c r="E655" s="2" t="s">
        <v>64</v>
      </c>
      <c r="F655" s="2" t="s">
        <v>35</v>
      </c>
      <c r="G655" s="2"/>
      <c r="H655" s="2" t="s">
        <v>64</v>
      </c>
      <c r="I655" s="2" t="s">
        <v>36</v>
      </c>
      <c r="J655" s="2" t="s">
        <v>2121</v>
      </c>
      <c r="K655" s="4" t="str">
        <f>HYPERLINK("https://www.thriftbooks.com/w/pindari-opera-qvae-svpersvnt/35381512/","Abrir enlace")</f>
        <v>Abrir enlace</v>
      </c>
      <c r="L655" s="2" t="s">
        <v>2122</v>
      </c>
      <c r="M655" s="2"/>
      <c r="N655" s="2" t="s">
        <v>91</v>
      </c>
      <c r="O655" s="2" t="s">
        <v>2123</v>
      </c>
      <c r="P655" s="4" t="str">
        <f>HYPERLINK("https://www.thriftbooks.com/w/pindari-opera-qvae-svpersvnt/35381512/","Abrir enlace")</f>
        <v>Abrir enlace</v>
      </c>
      <c r="Q655" s="2" t="s">
        <v>2124</v>
      </c>
      <c r="R655" s="2"/>
      <c r="S655" s="2" t="s">
        <v>91</v>
      </c>
      <c r="T655" s="2" t="s">
        <v>2125</v>
      </c>
      <c r="U655" s="4" t="str">
        <f>HYPERLINK("https://catalog.hathitrust.org/Record/102186097","Abrir enlace")</f>
        <v>Abrir enlace</v>
      </c>
      <c r="V655" s="2" t="s">
        <v>2126</v>
      </c>
      <c r="W655" s="2"/>
      <c r="X655" s="2" t="s">
        <v>91</v>
      </c>
      <c r="Y655" s="2" t="s">
        <v>2127</v>
      </c>
      <c r="Z655" s="4" t="str">
        <f>HYPERLINK("https://www.walmart.com/ip/Pindari-Opera-Qvae-Svpersvnt-Paperback-9781279838082/788467278","Abrir enlace")</f>
        <v>Abrir enlace</v>
      </c>
      <c r="AA655" s="2"/>
      <c r="AB655" s="2"/>
      <c r="AC655" s="2"/>
      <c r="AD655" s="2"/>
      <c r="AE655" s="2"/>
    </row>
    <row r="656" ht="15.75" customHeight="1">
      <c r="A656" s="2">
        <v>656.0</v>
      </c>
      <c r="B656" s="2" t="s">
        <v>2128</v>
      </c>
      <c r="C656" s="2" t="s">
        <v>2129</v>
      </c>
      <c r="D656" s="2" t="s">
        <v>33</v>
      </c>
      <c r="E656" s="2" t="s">
        <v>64</v>
      </c>
      <c r="F656" s="2" t="s">
        <v>35</v>
      </c>
      <c r="G656" s="2"/>
      <c r="H656" s="2" t="s">
        <v>64</v>
      </c>
      <c r="I656" s="2" t="s">
        <v>189</v>
      </c>
      <c r="J656" s="2" t="s">
        <v>2130</v>
      </c>
      <c r="K656" s="4" t="str">
        <f>HYPERLINK("https://www.le-livre.fr/livres/fiche-r320085616.html","Abrir enlace")</f>
        <v>Abrir enlace</v>
      </c>
      <c r="L656" s="2" t="s">
        <v>2131</v>
      </c>
      <c r="M656" s="2"/>
      <c r="N656" s="2" t="s">
        <v>91</v>
      </c>
      <c r="O656" s="2" t="s">
        <v>2132</v>
      </c>
      <c r="P656" s="4" t="str">
        <f>HYPERLINK("https://www.le-livre.fr/livres/fiche-r320085616.html","Abrir enlace")</f>
        <v>Abrir enlace</v>
      </c>
      <c r="Q656" s="2" t="s">
        <v>2133</v>
      </c>
      <c r="R656" s="2"/>
      <c r="S656" s="2" t="s">
        <v>91</v>
      </c>
      <c r="T656" s="2" t="s">
        <v>993</v>
      </c>
      <c r="U656" s="4" t="str">
        <f>HYPERLINK("https://data.bnf.fr/fr/see_all_activities/12494259/page1","Abrir enlace")</f>
        <v>Abrir enlace</v>
      </c>
      <c r="V656" s="2" t="s">
        <v>2134</v>
      </c>
      <c r="W656" s="2"/>
      <c r="X656" s="2" t="s">
        <v>91</v>
      </c>
      <c r="Y656" s="2" t="s">
        <v>2135</v>
      </c>
      <c r="Z656" s="4" t="str">
        <f>HYPERLINK("https://catalogue.bnf.fr/ark:/12148/cb500013119","Abrir enlace")</f>
        <v>Abrir enlace</v>
      </c>
      <c r="AA656" s="2"/>
      <c r="AB656" s="2"/>
      <c r="AC656" s="2"/>
      <c r="AD656" s="2"/>
      <c r="AE656" s="2"/>
    </row>
    <row r="657" ht="15.75" customHeight="1">
      <c r="A657" s="2">
        <v>657.0</v>
      </c>
      <c r="B657" s="2" t="s">
        <v>2128</v>
      </c>
      <c r="C657" s="2" t="s">
        <v>2129</v>
      </c>
      <c r="D657" s="2" t="s">
        <v>33</v>
      </c>
      <c r="E657" s="2" t="s">
        <v>64</v>
      </c>
      <c r="F657" s="2" t="s">
        <v>35</v>
      </c>
      <c r="G657" s="2"/>
      <c r="H657" s="2" t="s">
        <v>64</v>
      </c>
      <c r="I657" s="2" t="s">
        <v>189</v>
      </c>
      <c r="J657" s="2" t="s">
        <v>2130</v>
      </c>
      <c r="K657" s="2" t="s">
        <v>757</v>
      </c>
      <c r="L657" s="2" t="s">
        <v>2131</v>
      </c>
      <c r="M657" s="2"/>
      <c r="N657" s="2" t="s">
        <v>91</v>
      </c>
      <c r="O657" s="2" t="s">
        <v>2132</v>
      </c>
      <c r="P657" s="2" t="s">
        <v>757</v>
      </c>
      <c r="Q657" s="2" t="s">
        <v>2133</v>
      </c>
      <c r="R657" s="2"/>
      <c r="S657" s="2" t="s">
        <v>91</v>
      </c>
      <c r="T657" s="2" t="s">
        <v>993</v>
      </c>
      <c r="U657" s="2" t="s">
        <v>757</v>
      </c>
      <c r="V657" s="2" t="s">
        <v>2134</v>
      </c>
      <c r="W657" s="2"/>
      <c r="X657" s="2" t="s">
        <v>91</v>
      </c>
      <c r="Y657" s="2" t="s">
        <v>2135</v>
      </c>
      <c r="Z657" s="2" t="s">
        <v>757</v>
      </c>
      <c r="AA657" s="2"/>
      <c r="AB657" s="2"/>
      <c r="AC657" s="2"/>
      <c r="AD657" s="2"/>
      <c r="AE657" s="2"/>
    </row>
    <row r="658" ht="15.75" customHeight="1">
      <c r="A658" s="2">
        <v>658.0</v>
      </c>
      <c r="B658" s="2" t="s">
        <v>2128</v>
      </c>
      <c r="C658" s="2" t="s">
        <v>2129</v>
      </c>
      <c r="D658" s="2" t="s">
        <v>33</v>
      </c>
      <c r="E658" s="2" t="s">
        <v>64</v>
      </c>
      <c r="F658" s="2" t="s">
        <v>35</v>
      </c>
      <c r="G658" s="2"/>
      <c r="H658" s="2" t="s">
        <v>64</v>
      </c>
      <c r="I658" s="2" t="s">
        <v>189</v>
      </c>
      <c r="J658" s="2" t="s">
        <v>2130</v>
      </c>
      <c r="K658" s="2" t="s">
        <v>757</v>
      </c>
      <c r="L658" s="2" t="s">
        <v>2131</v>
      </c>
      <c r="M658" s="2"/>
      <c r="N658" s="2" t="s">
        <v>91</v>
      </c>
      <c r="O658" s="2" t="s">
        <v>2132</v>
      </c>
      <c r="P658" s="2" t="s">
        <v>757</v>
      </c>
      <c r="Q658" s="2" t="s">
        <v>2133</v>
      </c>
      <c r="R658" s="2"/>
      <c r="S658" s="2" t="s">
        <v>91</v>
      </c>
      <c r="T658" s="2" t="s">
        <v>993</v>
      </c>
      <c r="U658" s="2" t="s">
        <v>757</v>
      </c>
      <c r="V658" s="2" t="s">
        <v>2134</v>
      </c>
      <c r="W658" s="2"/>
      <c r="X658" s="2" t="s">
        <v>91</v>
      </c>
      <c r="Y658" s="2" t="s">
        <v>2135</v>
      </c>
      <c r="Z658" s="2" t="s">
        <v>757</v>
      </c>
      <c r="AA658" s="2"/>
      <c r="AB658" s="2"/>
      <c r="AC658" s="2"/>
      <c r="AD658" s="2"/>
      <c r="AE658" s="2"/>
    </row>
    <row r="659" ht="15.75" customHeight="1">
      <c r="A659" s="2">
        <v>659.0</v>
      </c>
      <c r="B659" s="2" t="s">
        <v>2128</v>
      </c>
      <c r="C659" s="2" t="s">
        <v>2129</v>
      </c>
      <c r="D659" s="2" t="s">
        <v>33</v>
      </c>
      <c r="E659" s="2" t="s">
        <v>64</v>
      </c>
      <c r="F659" s="2" t="s">
        <v>35</v>
      </c>
      <c r="G659" s="2"/>
      <c r="H659" s="2" t="s">
        <v>64</v>
      </c>
      <c r="I659" s="2" t="s">
        <v>189</v>
      </c>
      <c r="J659" s="2" t="s">
        <v>2130</v>
      </c>
      <c r="K659" s="2" t="s">
        <v>757</v>
      </c>
      <c r="L659" s="2" t="s">
        <v>2131</v>
      </c>
      <c r="M659" s="2"/>
      <c r="N659" s="2" t="s">
        <v>91</v>
      </c>
      <c r="O659" s="2" t="s">
        <v>2132</v>
      </c>
      <c r="P659" s="2" t="s">
        <v>757</v>
      </c>
      <c r="Q659" s="2" t="s">
        <v>2133</v>
      </c>
      <c r="R659" s="2"/>
      <c r="S659" s="2" t="s">
        <v>91</v>
      </c>
      <c r="T659" s="2" t="s">
        <v>993</v>
      </c>
      <c r="U659" s="2" t="s">
        <v>757</v>
      </c>
      <c r="V659" s="2" t="s">
        <v>2134</v>
      </c>
      <c r="W659" s="2"/>
      <c r="X659" s="2" t="s">
        <v>91</v>
      </c>
      <c r="Y659" s="2" t="s">
        <v>2135</v>
      </c>
      <c r="Z659" s="2" t="s">
        <v>757</v>
      </c>
      <c r="AA659" s="2"/>
      <c r="AB659" s="2"/>
      <c r="AC659" s="2"/>
      <c r="AD659" s="2"/>
      <c r="AE659" s="2"/>
    </row>
    <row r="660" ht="15.75" customHeight="1">
      <c r="A660" s="2">
        <v>660.0</v>
      </c>
      <c r="B660" s="2" t="s">
        <v>2136</v>
      </c>
      <c r="C660" s="2"/>
      <c r="D660" s="2" t="s">
        <v>33</v>
      </c>
      <c r="E660" s="2" t="s">
        <v>70</v>
      </c>
      <c r="F660" s="2" t="s">
        <v>35</v>
      </c>
      <c r="G660" s="2"/>
      <c r="H660" s="2" t="s">
        <v>70</v>
      </c>
      <c r="I660" s="2" t="s">
        <v>36</v>
      </c>
      <c r="J660" s="2" t="s">
        <v>2137</v>
      </c>
      <c r="K660" s="4" t="str">
        <f>HYPERLINK("https://books.google.com/books/about/Cartas_á_Sofía.html?id=P9Ss3b5kzwcC","Abrir enlace")</f>
        <v>Abrir enlace</v>
      </c>
      <c r="L660" s="2" t="s">
        <v>2138</v>
      </c>
      <c r="M660" s="2"/>
      <c r="N660" s="2" t="s">
        <v>91</v>
      </c>
      <c r="O660" s="2" t="s">
        <v>1460</v>
      </c>
      <c r="P660" s="4" t="str">
        <f>HYPERLINK("https://books.google.com/books/about/Cartas_á_Sofía.html?id=P9Ss3b5kzwcC","Abrir enlace")</f>
        <v>Abrir enlace</v>
      </c>
      <c r="Q660" s="2" t="s">
        <v>2139</v>
      </c>
      <c r="R660" s="2"/>
      <c r="S660" s="2" t="s">
        <v>91</v>
      </c>
      <c r="T660" s="2" t="s">
        <v>325</v>
      </c>
      <c r="U660" s="4" t="str">
        <f>HYPERLINK("https://www.scribd.com/document/728727320/Cartas-a-Sofia-PDF","Abrir enlace")</f>
        <v>Abrir enlace</v>
      </c>
      <c r="V660" s="2" t="s">
        <v>2140</v>
      </c>
      <c r="W660" s="2"/>
      <c r="X660" s="2" t="s">
        <v>91</v>
      </c>
      <c r="Y660" s="2" t="s">
        <v>1055</v>
      </c>
      <c r="Z660" s="4" t="str">
        <f>HYPERLINK("https://libreriafan.com.ar/cartas-para-sofia-libro/","Abrir enlace")</f>
        <v>Abrir enlace</v>
      </c>
      <c r="AA660" s="2"/>
      <c r="AB660" s="2"/>
      <c r="AC660" s="2"/>
      <c r="AD660" s="2"/>
      <c r="AE660" s="2"/>
    </row>
    <row r="661" ht="15.75" customHeight="1">
      <c r="A661" s="2">
        <v>661.0</v>
      </c>
      <c r="B661" s="2" t="s">
        <v>2136</v>
      </c>
      <c r="C661" s="2"/>
      <c r="D661" s="2" t="s">
        <v>33</v>
      </c>
      <c r="E661" s="2" t="s">
        <v>70</v>
      </c>
      <c r="F661" s="2" t="s">
        <v>35</v>
      </c>
      <c r="G661" s="2"/>
      <c r="H661" s="2" t="s">
        <v>70</v>
      </c>
      <c r="I661" s="2" t="s">
        <v>36</v>
      </c>
      <c r="J661" s="2" t="s">
        <v>2137</v>
      </c>
      <c r="K661" s="2" t="s">
        <v>757</v>
      </c>
      <c r="L661" s="2" t="s">
        <v>2138</v>
      </c>
      <c r="M661" s="2"/>
      <c r="N661" s="2" t="s">
        <v>91</v>
      </c>
      <c r="O661" s="2" t="s">
        <v>1460</v>
      </c>
      <c r="P661" s="2" t="s">
        <v>757</v>
      </c>
      <c r="Q661" s="2" t="s">
        <v>2139</v>
      </c>
      <c r="R661" s="2"/>
      <c r="S661" s="2" t="s">
        <v>91</v>
      </c>
      <c r="T661" s="2" t="s">
        <v>325</v>
      </c>
      <c r="U661" s="2" t="s">
        <v>757</v>
      </c>
      <c r="V661" s="2" t="s">
        <v>2140</v>
      </c>
      <c r="W661" s="2"/>
      <c r="X661" s="2" t="s">
        <v>91</v>
      </c>
      <c r="Y661" s="2" t="s">
        <v>1055</v>
      </c>
      <c r="Z661" s="2" t="s">
        <v>757</v>
      </c>
      <c r="AA661" s="2"/>
      <c r="AB661" s="2"/>
      <c r="AC661" s="2"/>
      <c r="AD661" s="2"/>
      <c r="AE661" s="2"/>
    </row>
    <row r="662" ht="15.75" customHeight="1">
      <c r="A662" s="2">
        <v>662.0</v>
      </c>
      <c r="B662" s="2" t="s">
        <v>2141</v>
      </c>
      <c r="C662" s="2" t="s">
        <v>2142</v>
      </c>
      <c r="D662" s="2" t="s">
        <v>33</v>
      </c>
      <c r="E662" s="2" t="s">
        <v>64</v>
      </c>
      <c r="F662" s="2" t="s">
        <v>35</v>
      </c>
      <c r="G662" s="2"/>
      <c r="H662" s="2" t="s">
        <v>64</v>
      </c>
      <c r="I662" s="2" t="s">
        <v>36</v>
      </c>
      <c r="J662" s="2" t="s">
        <v>2143</v>
      </c>
      <c r="K662" s="4" t="str">
        <f>HYPERLINK("https://babel.hathitrust.org/cgi/pt?id=uc1.b0000298190","Abrir enlace")</f>
        <v>Abrir enlace</v>
      </c>
      <c r="L662" s="2" t="s">
        <v>2144</v>
      </c>
      <c r="M662" s="2"/>
      <c r="N662" s="2" t="s">
        <v>91</v>
      </c>
      <c r="O662" s="2" t="s">
        <v>1177</v>
      </c>
      <c r="P662" s="4" t="str">
        <f>HYPERLINK("https://babel.hathitrust.org/cgi/pt?id=uc1.b0000298190","Abrir enlace")</f>
        <v>Abrir enlace</v>
      </c>
      <c r="Q662" s="2" t="s">
        <v>2145</v>
      </c>
      <c r="R662" s="2"/>
      <c r="S662" s="2" t="s">
        <v>91</v>
      </c>
      <c r="T662" s="2" t="s">
        <v>1904</v>
      </c>
      <c r="U662" s="4" t="str">
        <f>HYPERLINK("https://archive.org/details/bub_gb_AgS5MvFvcwUC","Abrir enlace")</f>
        <v>Abrir enlace</v>
      </c>
      <c r="V662" s="2" t="s">
        <v>2146</v>
      </c>
      <c r="W662" s="2"/>
      <c r="X662" s="2" t="s">
        <v>91</v>
      </c>
      <c r="Y662" s="2" t="s">
        <v>1779</v>
      </c>
      <c r="Z662" s="4" t="str">
        <f>HYPERLINK("https://www.amazon.com/Stael-Holstein-Traducida-Edicion-Caamano-Leather/dp/B0D9HKSDNJ","Abrir enlace")</f>
        <v>Abrir enlace</v>
      </c>
      <c r="AA662" s="2"/>
      <c r="AB662" s="2"/>
      <c r="AC662" s="2"/>
      <c r="AD662" s="2"/>
      <c r="AE662" s="2"/>
    </row>
    <row r="663" ht="15.75" customHeight="1">
      <c r="A663" s="2">
        <v>663.0</v>
      </c>
      <c r="B663" s="2" t="s">
        <v>2147</v>
      </c>
      <c r="C663" s="2"/>
      <c r="D663" s="2" t="s">
        <v>49</v>
      </c>
      <c r="E663" s="2" t="s">
        <v>70</v>
      </c>
      <c r="F663" s="3" t="s">
        <v>35</v>
      </c>
      <c r="G663" s="2"/>
      <c r="H663" s="2" t="s">
        <v>70</v>
      </c>
      <c r="I663" s="2" t="s">
        <v>36</v>
      </c>
      <c r="J663" s="2" t="s">
        <v>2148</v>
      </c>
      <c r="K663" s="4" t="str">
        <f t="shared" ref="K663:K664" si="85">HYPERLINK("https://openlibrary.org/works/OL12998475W","Abrir enlace")</f>
        <v>Abrir enlace</v>
      </c>
      <c r="L663" s="2" t="s">
        <v>2149</v>
      </c>
      <c r="M663" s="2"/>
      <c r="N663" s="2" t="s">
        <v>45</v>
      </c>
      <c r="O663" s="2"/>
      <c r="P663" s="4" t="str">
        <f t="shared" ref="P663:P664" si="86">HYPERLINK("https://openlibrary.org/works/OL12998475W","Abrir enlace")</f>
        <v>Abrir enlace</v>
      </c>
      <c r="Q663" s="2"/>
      <c r="R663" s="2"/>
      <c r="S663" s="2"/>
      <c r="T663" s="2"/>
      <c r="U663" s="2"/>
      <c r="V663" s="2"/>
      <c r="W663" s="2"/>
      <c r="X663" s="2"/>
      <c r="Y663" s="2"/>
      <c r="Z663" s="2"/>
      <c r="AA663" s="2" t="s">
        <v>40</v>
      </c>
      <c r="AB663" s="2" t="s">
        <v>2150</v>
      </c>
      <c r="AC663" s="2"/>
      <c r="AD663" s="2"/>
      <c r="AE663" s="2"/>
    </row>
    <row r="664" ht="15.75" customHeight="1">
      <c r="A664" s="2">
        <v>664.0</v>
      </c>
      <c r="B664" s="2" t="s">
        <v>2147</v>
      </c>
      <c r="C664" s="2"/>
      <c r="D664" s="2" t="s">
        <v>49</v>
      </c>
      <c r="E664" s="2" t="s">
        <v>64</v>
      </c>
      <c r="F664" s="3" t="s">
        <v>35</v>
      </c>
      <c r="G664" s="2"/>
      <c r="H664" s="2" t="s">
        <v>64</v>
      </c>
      <c r="I664" s="2" t="s">
        <v>36</v>
      </c>
      <c r="J664" s="2" t="s">
        <v>37</v>
      </c>
      <c r="K664" s="4" t="str">
        <f t="shared" si="85"/>
        <v>Abrir enlace</v>
      </c>
      <c r="L664" s="2" t="s">
        <v>2149</v>
      </c>
      <c r="M664" s="2"/>
      <c r="N664" s="2" t="s">
        <v>45</v>
      </c>
      <c r="O664" s="2"/>
      <c r="P664" s="4" t="str">
        <f t="shared" si="86"/>
        <v>Abrir enlace</v>
      </c>
      <c r="Q664" s="2"/>
      <c r="R664" s="2"/>
      <c r="S664" s="2"/>
      <c r="T664" s="2"/>
      <c r="U664" s="2"/>
      <c r="V664" s="2"/>
      <c r="W664" s="2"/>
      <c r="X664" s="2"/>
      <c r="Y664" s="2"/>
      <c r="Z664" s="2"/>
      <c r="AA664" s="2" t="s">
        <v>40</v>
      </c>
      <c r="AB664" s="2" t="s">
        <v>67</v>
      </c>
      <c r="AC664" s="2"/>
      <c r="AD664" s="2"/>
      <c r="AE664" s="2"/>
    </row>
    <row r="665" ht="15.75" customHeight="1">
      <c r="A665" s="2">
        <v>665.0</v>
      </c>
      <c r="B665" s="2" t="s">
        <v>2151</v>
      </c>
      <c r="C665" s="2" t="s">
        <v>2152</v>
      </c>
      <c r="D665" s="2" t="s">
        <v>33</v>
      </c>
      <c r="E665" s="2" t="s">
        <v>64</v>
      </c>
      <c r="F665" s="3" t="s">
        <v>35</v>
      </c>
      <c r="G665" s="2"/>
      <c r="H665" s="2" t="s">
        <v>64</v>
      </c>
      <c r="I665" s="2" t="s">
        <v>36</v>
      </c>
      <c r="J665" s="2" t="s">
        <v>37</v>
      </c>
      <c r="K665" s="4" t="str">
        <f t="shared" ref="K665:K666" si="87">HYPERLINK("https://archive.org/details/oraciones-escogidas-de-m.-t.-ciceron","Abrir enlace")</f>
        <v>Abrir enlace</v>
      </c>
      <c r="L665" s="2" t="s">
        <v>2153</v>
      </c>
      <c r="M665" s="2"/>
      <c r="N665" s="2" t="s">
        <v>54</v>
      </c>
      <c r="O665" s="2"/>
      <c r="P665" s="4" t="str">
        <f t="shared" ref="P665:P666" si="88">HYPERLINK("https://archive.org/details/oraciones-escogidas-de-m.-t.-ciceron","Abrir enlace")</f>
        <v>Abrir enlace</v>
      </c>
      <c r="Q665" s="2"/>
      <c r="R665" s="2"/>
      <c r="S665" s="2"/>
      <c r="T665" s="2"/>
      <c r="U665" s="2"/>
      <c r="V665" s="2"/>
      <c r="W665" s="2"/>
      <c r="X665" s="2"/>
      <c r="Y665" s="2"/>
      <c r="Z665" s="2"/>
      <c r="AA665" s="2" t="s">
        <v>51</v>
      </c>
      <c r="AB665" s="2" t="s">
        <v>67</v>
      </c>
      <c r="AC665" s="2"/>
      <c r="AD665" s="2"/>
      <c r="AE665" s="2"/>
    </row>
    <row r="666" ht="15.75" customHeight="1">
      <c r="A666" s="2">
        <v>666.0</v>
      </c>
      <c r="B666" s="2" t="s">
        <v>2151</v>
      </c>
      <c r="C666" s="2" t="s">
        <v>2152</v>
      </c>
      <c r="D666" s="2" t="s">
        <v>33</v>
      </c>
      <c r="E666" s="2" t="s">
        <v>64</v>
      </c>
      <c r="F666" s="3" t="s">
        <v>35</v>
      </c>
      <c r="G666" s="2"/>
      <c r="H666" s="2" t="s">
        <v>64</v>
      </c>
      <c r="I666" s="2" t="s">
        <v>36</v>
      </c>
      <c r="J666" s="2" t="s">
        <v>37</v>
      </c>
      <c r="K666" s="4" t="str">
        <f t="shared" si="87"/>
        <v>Abrir enlace</v>
      </c>
      <c r="L666" s="2" t="s">
        <v>2153</v>
      </c>
      <c r="M666" s="2"/>
      <c r="N666" s="2" t="s">
        <v>54</v>
      </c>
      <c r="O666" s="2"/>
      <c r="P666" s="4" t="str">
        <f t="shared" si="88"/>
        <v>Abrir enlace</v>
      </c>
      <c r="Q666" s="2"/>
      <c r="R666" s="2"/>
      <c r="S666" s="2"/>
      <c r="T666" s="2"/>
      <c r="U666" s="2"/>
      <c r="V666" s="2"/>
      <c r="W666" s="2"/>
      <c r="X666" s="2"/>
      <c r="Y666" s="2"/>
      <c r="Z666" s="2"/>
      <c r="AA666" s="2" t="s">
        <v>51</v>
      </c>
      <c r="AB666" s="2" t="s">
        <v>67</v>
      </c>
      <c r="AC666" s="2"/>
      <c r="AD666" s="2"/>
      <c r="AE666" s="2"/>
    </row>
    <row r="667" ht="15.75" customHeight="1">
      <c r="A667" s="2">
        <v>667.0</v>
      </c>
      <c r="B667" s="2" t="s">
        <v>2154</v>
      </c>
      <c r="C667" s="2" t="s">
        <v>2155</v>
      </c>
      <c r="D667" s="2" t="s">
        <v>33</v>
      </c>
      <c r="E667" s="2" t="s">
        <v>64</v>
      </c>
      <c r="F667" s="2" t="s">
        <v>35</v>
      </c>
      <c r="G667" s="2"/>
      <c r="H667" s="2" t="s">
        <v>64</v>
      </c>
      <c r="I667" s="2" t="s">
        <v>36</v>
      </c>
      <c r="J667" s="2" t="s">
        <v>2156</v>
      </c>
      <c r="K667" s="4" t="str">
        <f>HYPERLINK("https://opac.sbfinalese.it/ricerca/dettaglio/p-virgilii-maronis-opera-cum-appositis-italico-carmine-interpretationibus-ac-not/101614","Abrir enlace")</f>
        <v>Abrir enlace</v>
      </c>
      <c r="L667" s="2" t="s">
        <v>2157</v>
      </c>
      <c r="M667" s="2"/>
      <c r="N667" s="2" t="s">
        <v>91</v>
      </c>
      <c r="O667" s="2" t="s">
        <v>2158</v>
      </c>
      <c r="P667" s="4" t="str">
        <f>HYPERLINK("https://opac.sbfinalese.it/ricerca/dettaglio/p-virgilii-maronis-opera-cum-appositis-italico-carmine-interpretationibus-ac-not/101614","Abrir enlace")</f>
        <v>Abrir enlace</v>
      </c>
      <c r="Q667" s="2" t="s">
        <v>2159</v>
      </c>
      <c r="R667" s="2"/>
      <c r="S667" s="2" t="s">
        <v>91</v>
      </c>
      <c r="T667" s="2" t="s">
        <v>2160</v>
      </c>
      <c r="U667" s="4" t="str">
        <f>HYPERLINK("https://www.librisenzadata.it/libri/28045/","Abrir enlace")</f>
        <v>Abrir enlace</v>
      </c>
      <c r="V667" s="2" t="s">
        <v>2161</v>
      </c>
      <c r="W667" s="2"/>
      <c r="X667" s="2" t="s">
        <v>91</v>
      </c>
      <c r="Y667" s="2" t="s">
        <v>2162</v>
      </c>
      <c r="Z667" s="4" t="str">
        <f>HYPERLINK("https://www.amazon.com/Opera-Appositis-Italico-Carmine-Iterpretationibus/dp/B003XK4UEG","Abrir enlace")</f>
        <v>Abrir enlace</v>
      </c>
      <c r="AA667" s="2"/>
      <c r="AB667" s="2"/>
      <c r="AC667" s="2"/>
      <c r="AD667" s="2"/>
      <c r="AE667" s="2"/>
    </row>
    <row r="668" ht="15.75" customHeight="1">
      <c r="A668" s="2">
        <v>668.0</v>
      </c>
      <c r="B668" s="2" t="s">
        <v>2163</v>
      </c>
      <c r="C668" s="2" t="s">
        <v>2164</v>
      </c>
      <c r="D668" s="2" t="s">
        <v>33</v>
      </c>
      <c r="E668" s="2" t="s">
        <v>64</v>
      </c>
      <c r="F668" s="3" t="s">
        <v>35</v>
      </c>
      <c r="G668" s="2"/>
      <c r="H668" s="2" t="s">
        <v>64</v>
      </c>
      <c r="I668" s="2" t="s">
        <v>36</v>
      </c>
      <c r="J668" s="2" t="s">
        <v>2165</v>
      </c>
      <c r="K668" s="4" t="str">
        <f>HYPERLINK("https://archive.org/details/lesplaidoyerspol01dm","Abrir enlace")</f>
        <v>Abrir enlace</v>
      </c>
      <c r="L668" s="2" t="s">
        <v>2166</v>
      </c>
      <c r="M668" s="2"/>
      <c r="N668" s="2" t="s">
        <v>54</v>
      </c>
      <c r="O668" s="2"/>
      <c r="P668" s="4" t="str">
        <f>HYPERLINK("https://archive.org/details/lesplaidoyerspol01dm","Abrir enlace")</f>
        <v>Abrir enlace</v>
      </c>
      <c r="Q668" s="2"/>
      <c r="R668" s="2"/>
      <c r="S668" s="2"/>
      <c r="T668" s="2"/>
      <c r="U668" s="2"/>
      <c r="V668" s="2"/>
      <c r="W668" s="2"/>
      <c r="X668" s="2"/>
      <c r="Y668" s="2"/>
      <c r="Z668" s="2"/>
      <c r="AA668" s="2" t="s">
        <v>40</v>
      </c>
      <c r="AB668" s="2" t="s">
        <v>558</v>
      </c>
      <c r="AC668" s="2"/>
      <c r="AD668" s="2"/>
      <c r="AE668" s="2"/>
    </row>
    <row r="669" ht="15.75" customHeight="1">
      <c r="A669" s="2">
        <v>669.0</v>
      </c>
      <c r="B669" s="2" t="s">
        <v>2167</v>
      </c>
      <c r="C669" s="2" t="s">
        <v>2168</v>
      </c>
      <c r="D669" s="2" t="s">
        <v>33</v>
      </c>
      <c r="E669" s="2" t="s">
        <v>112</v>
      </c>
      <c r="F669" s="2" t="s">
        <v>35</v>
      </c>
      <c r="G669" s="2"/>
      <c r="H669" s="2" t="s">
        <v>112</v>
      </c>
      <c r="I669" s="2" t="s">
        <v>36</v>
      </c>
      <c r="J669" s="2" t="s">
        <v>2169</v>
      </c>
      <c r="K669" s="4" t="str">
        <f>HYPERLINK("https://books.google.com/books/about/Dictionnaire_universel_des_hérésies_de.html?id=rK0AAAAAcAAJ","Abrir enlace")</f>
        <v>Abrir enlace</v>
      </c>
      <c r="L669" s="2" t="s">
        <v>2170</v>
      </c>
      <c r="M669" s="2"/>
      <c r="N669" s="2" t="s">
        <v>91</v>
      </c>
      <c r="O669" s="2" t="s">
        <v>874</v>
      </c>
      <c r="P669" s="4" t="str">
        <f>HYPERLINK("https://books.google.com/books/about/Dictionnaire_universel_des_hérésies_de.html?id=rK0AAAAAcAAJ","Abrir enlace")</f>
        <v>Abrir enlace</v>
      </c>
      <c r="Q669" s="2" t="s">
        <v>2171</v>
      </c>
      <c r="R669" s="2"/>
      <c r="S669" s="2" t="s">
        <v>91</v>
      </c>
      <c r="T669" s="2" t="s">
        <v>1572</v>
      </c>
      <c r="U669" s="4" t="str">
        <f>HYPERLINK("https://archive.org/details/dictionnairedes00pluqgoog","Abrir enlace")</f>
        <v>Abrir enlace</v>
      </c>
      <c r="V669" s="2" t="s">
        <v>2172</v>
      </c>
      <c r="W669" s="2"/>
      <c r="X669" s="2" t="s">
        <v>54</v>
      </c>
      <c r="Y669" s="2" t="s">
        <v>2173</v>
      </c>
      <c r="Z669" s="4" t="str">
        <f>HYPERLINK("https://archive.org/details/EL197_L_1993_03_091_09_1_PF_01","Abrir enlace")</f>
        <v>Abrir enlace</v>
      </c>
      <c r="AA669" s="2"/>
      <c r="AB669" s="2"/>
      <c r="AC669" s="2"/>
      <c r="AD669" s="2"/>
      <c r="AE669" s="2"/>
    </row>
    <row r="670" ht="15.75" customHeight="1">
      <c r="A670" s="2">
        <v>670.0</v>
      </c>
      <c r="B670" s="2" t="s">
        <v>2174</v>
      </c>
      <c r="C670" s="2" t="s">
        <v>2175</v>
      </c>
      <c r="D670" s="2" t="s">
        <v>33</v>
      </c>
      <c r="E670" s="2" t="s">
        <v>70</v>
      </c>
      <c r="F670" s="2" t="s">
        <v>35</v>
      </c>
      <c r="G670" s="2"/>
      <c r="H670" s="2" t="s">
        <v>70</v>
      </c>
      <c r="I670" s="2" t="s">
        <v>168</v>
      </c>
      <c r="J670" s="2" t="s">
        <v>2176</v>
      </c>
      <c r="K670" s="4" t="str">
        <f>HYPERLINK("https://www.antoniomateos.com/varios/20215-cartas-criticas-sobre-varias-questiones-eruditas-cientificas-physicas-y-morales-a-la-moda-y-al-gusto-del-presente-siglo-esc.html","Abrir enlace")</f>
        <v>Abrir enlace</v>
      </c>
      <c r="L670" s="2" t="s">
        <v>2177</v>
      </c>
      <c r="M670" s="2"/>
      <c r="N670" s="2" t="s">
        <v>91</v>
      </c>
      <c r="O670" s="2" t="s">
        <v>2178</v>
      </c>
      <c r="P670" s="4" t="str">
        <f>HYPERLINK("https://www.antoniomateos.com/varios/20215-cartas-criticas-sobre-varias-questiones-eruditas-cientificas-physicas-y-morales-a-la-moda-y-al-gusto-del-presente-siglo-esc.html","Abrir enlace")</f>
        <v>Abrir enlace</v>
      </c>
      <c r="Q670" s="2" t="s">
        <v>2179</v>
      </c>
      <c r="R670" s="2"/>
      <c r="S670" s="2" t="s">
        <v>91</v>
      </c>
      <c r="T670" s="2" t="s">
        <v>2117</v>
      </c>
      <c r="U670" s="4" t="str">
        <f>HYPERLINK("https://biblioteca.galiciana.gal/es/consulta/registro.do?id=484748","Abrir enlace")</f>
        <v>Abrir enlace</v>
      </c>
      <c r="V670" s="2" t="s">
        <v>2180</v>
      </c>
      <c r="W670" s="2"/>
      <c r="X670" s="2" t="s">
        <v>91</v>
      </c>
      <c r="Y670" s="2" t="s">
        <v>2181</v>
      </c>
      <c r="Z670" s="4" t="str">
        <f>HYPERLINK("http://www.bibliophile.net/books/costantini_josef_antonio_abogado_cartas_cr�ticas_sobre_varias_questiones_eruditas_cient�ficas_physic.htm","Abrir enlace")</f>
        <v>Abrir enlace</v>
      </c>
      <c r="AA670" s="2"/>
      <c r="AB670" s="2"/>
      <c r="AC670" s="2"/>
      <c r="AD670" s="2"/>
      <c r="AE670" s="2"/>
    </row>
    <row r="671" ht="15.75" customHeight="1">
      <c r="A671" s="2">
        <v>671.0</v>
      </c>
      <c r="B671" s="2" t="s">
        <v>2174</v>
      </c>
      <c r="C671" s="2" t="s">
        <v>2175</v>
      </c>
      <c r="D671" s="2" t="s">
        <v>33</v>
      </c>
      <c r="E671" s="2" t="s">
        <v>70</v>
      </c>
      <c r="F671" s="2" t="s">
        <v>35</v>
      </c>
      <c r="G671" s="2"/>
      <c r="H671" s="2" t="s">
        <v>70</v>
      </c>
      <c r="I671" s="2" t="s">
        <v>168</v>
      </c>
      <c r="J671" s="2" t="s">
        <v>2176</v>
      </c>
      <c r="K671" s="2" t="s">
        <v>757</v>
      </c>
      <c r="L671" s="2" t="s">
        <v>2177</v>
      </c>
      <c r="M671" s="2"/>
      <c r="N671" s="2" t="s">
        <v>91</v>
      </c>
      <c r="O671" s="2" t="s">
        <v>2178</v>
      </c>
      <c r="P671" s="2" t="s">
        <v>757</v>
      </c>
      <c r="Q671" s="2" t="s">
        <v>2179</v>
      </c>
      <c r="R671" s="2"/>
      <c r="S671" s="2" t="s">
        <v>91</v>
      </c>
      <c r="T671" s="2" t="s">
        <v>2117</v>
      </c>
      <c r="U671" s="2" t="s">
        <v>757</v>
      </c>
      <c r="V671" s="2" t="s">
        <v>2180</v>
      </c>
      <c r="W671" s="2"/>
      <c r="X671" s="2" t="s">
        <v>91</v>
      </c>
      <c r="Y671" s="2" t="s">
        <v>2181</v>
      </c>
      <c r="Z671" s="2" t="s">
        <v>757</v>
      </c>
      <c r="AA671" s="2"/>
      <c r="AB671" s="2"/>
      <c r="AC671" s="2"/>
      <c r="AD671" s="2"/>
      <c r="AE671" s="2"/>
    </row>
    <row r="672" ht="15.75" customHeight="1">
      <c r="A672" s="2">
        <v>672.0</v>
      </c>
      <c r="B672" s="2" t="s">
        <v>2174</v>
      </c>
      <c r="C672" s="2" t="s">
        <v>2175</v>
      </c>
      <c r="D672" s="2" t="s">
        <v>33</v>
      </c>
      <c r="E672" s="2" t="s">
        <v>70</v>
      </c>
      <c r="F672" s="2" t="s">
        <v>35</v>
      </c>
      <c r="G672" s="2"/>
      <c r="H672" s="2" t="s">
        <v>70</v>
      </c>
      <c r="I672" s="2" t="s">
        <v>168</v>
      </c>
      <c r="J672" s="2" t="s">
        <v>2176</v>
      </c>
      <c r="K672" s="2" t="s">
        <v>757</v>
      </c>
      <c r="L672" s="2" t="s">
        <v>2177</v>
      </c>
      <c r="M672" s="2"/>
      <c r="N672" s="2" t="s">
        <v>91</v>
      </c>
      <c r="O672" s="2" t="s">
        <v>2178</v>
      </c>
      <c r="P672" s="2" t="s">
        <v>757</v>
      </c>
      <c r="Q672" s="2" t="s">
        <v>2179</v>
      </c>
      <c r="R672" s="2"/>
      <c r="S672" s="2" t="s">
        <v>91</v>
      </c>
      <c r="T672" s="2" t="s">
        <v>2117</v>
      </c>
      <c r="U672" s="2" t="s">
        <v>757</v>
      </c>
      <c r="V672" s="2" t="s">
        <v>2180</v>
      </c>
      <c r="W672" s="2"/>
      <c r="X672" s="2" t="s">
        <v>91</v>
      </c>
      <c r="Y672" s="2" t="s">
        <v>2181</v>
      </c>
      <c r="Z672" s="2" t="s">
        <v>757</v>
      </c>
      <c r="AA672" s="2"/>
      <c r="AB672" s="2"/>
      <c r="AC672" s="2"/>
      <c r="AD672" s="2"/>
      <c r="AE672" s="2"/>
    </row>
    <row r="673" ht="15.75" customHeight="1">
      <c r="A673" s="2">
        <v>673.0</v>
      </c>
      <c r="B673" s="2" t="s">
        <v>2174</v>
      </c>
      <c r="C673" s="2" t="s">
        <v>2175</v>
      </c>
      <c r="D673" s="2" t="s">
        <v>33</v>
      </c>
      <c r="E673" s="2" t="s">
        <v>70</v>
      </c>
      <c r="F673" s="2" t="s">
        <v>35</v>
      </c>
      <c r="G673" s="2"/>
      <c r="H673" s="2" t="s">
        <v>70</v>
      </c>
      <c r="I673" s="2" t="s">
        <v>168</v>
      </c>
      <c r="J673" s="2" t="s">
        <v>2176</v>
      </c>
      <c r="K673" s="2" t="s">
        <v>757</v>
      </c>
      <c r="L673" s="2" t="s">
        <v>2177</v>
      </c>
      <c r="M673" s="2"/>
      <c r="N673" s="2" t="s">
        <v>91</v>
      </c>
      <c r="O673" s="2" t="s">
        <v>2178</v>
      </c>
      <c r="P673" s="2" t="s">
        <v>757</v>
      </c>
      <c r="Q673" s="2" t="s">
        <v>2179</v>
      </c>
      <c r="R673" s="2"/>
      <c r="S673" s="2" t="s">
        <v>91</v>
      </c>
      <c r="T673" s="2" t="s">
        <v>2117</v>
      </c>
      <c r="U673" s="2" t="s">
        <v>757</v>
      </c>
      <c r="V673" s="2" t="s">
        <v>2180</v>
      </c>
      <c r="W673" s="2"/>
      <c r="X673" s="2" t="s">
        <v>91</v>
      </c>
      <c r="Y673" s="2" t="s">
        <v>2181</v>
      </c>
      <c r="Z673" s="2" t="s">
        <v>757</v>
      </c>
      <c r="AA673" s="2"/>
      <c r="AB673" s="2"/>
      <c r="AC673" s="2"/>
      <c r="AD673" s="2"/>
      <c r="AE673" s="2"/>
    </row>
    <row r="674" ht="15.75" customHeight="1">
      <c r="A674" s="2">
        <v>674.0</v>
      </c>
      <c r="B674" s="2" t="s">
        <v>2174</v>
      </c>
      <c r="C674" s="2" t="s">
        <v>2175</v>
      </c>
      <c r="D674" s="2" t="s">
        <v>33</v>
      </c>
      <c r="E674" s="2" t="s">
        <v>70</v>
      </c>
      <c r="F674" s="2" t="s">
        <v>35</v>
      </c>
      <c r="G674" s="2"/>
      <c r="H674" s="2" t="s">
        <v>70</v>
      </c>
      <c r="I674" s="2" t="s">
        <v>168</v>
      </c>
      <c r="J674" s="2" t="s">
        <v>2176</v>
      </c>
      <c r="K674" s="2" t="s">
        <v>757</v>
      </c>
      <c r="L674" s="2" t="s">
        <v>2177</v>
      </c>
      <c r="M674" s="2"/>
      <c r="N674" s="2" t="s">
        <v>91</v>
      </c>
      <c r="O674" s="2" t="s">
        <v>2178</v>
      </c>
      <c r="P674" s="2" t="s">
        <v>757</v>
      </c>
      <c r="Q674" s="2" t="s">
        <v>2179</v>
      </c>
      <c r="R674" s="2"/>
      <c r="S674" s="2" t="s">
        <v>91</v>
      </c>
      <c r="T674" s="2" t="s">
        <v>2117</v>
      </c>
      <c r="U674" s="2" t="s">
        <v>757</v>
      </c>
      <c r="V674" s="2" t="s">
        <v>2180</v>
      </c>
      <c r="W674" s="2"/>
      <c r="X674" s="2" t="s">
        <v>91</v>
      </c>
      <c r="Y674" s="2" t="s">
        <v>2181</v>
      </c>
      <c r="Z674" s="2" t="s">
        <v>757</v>
      </c>
      <c r="AA674" s="2"/>
      <c r="AB674" s="2"/>
      <c r="AC674" s="2"/>
      <c r="AD674" s="2"/>
      <c r="AE674" s="2"/>
    </row>
    <row r="675" ht="15.75" customHeight="1">
      <c r="A675" s="2">
        <v>675.0</v>
      </c>
      <c r="B675" s="2" t="s">
        <v>2174</v>
      </c>
      <c r="C675" s="2" t="s">
        <v>2175</v>
      </c>
      <c r="D675" s="2" t="s">
        <v>33</v>
      </c>
      <c r="E675" s="2" t="s">
        <v>70</v>
      </c>
      <c r="F675" s="2" t="s">
        <v>35</v>
      </c>
      <c r="G675" s="2"/>
      <c r="H675" s="2" t="s">
        <v>70</v>
      </c>
      <c r="I675" s="2" t="s">
        <v>168</v>
      </c>
      <c r="J675" s="2" t="s">
        <v>2176</v>
      </c>
      <c r="K675" s="2" t="s">
        <v>757</v>
      </c>
      <c r="L675" s="2" t="s">
        <v>2177</v>
      </c>
      <c r="M675" s="2"/>
      <c r="N675" s="2" t="s">
        <v>91</v>
      </c>
      <c r="O675" s="2" t="s">
        <v>2178</v>
      </c>
      <c r="P675" s="2" t="s">
        <v>757</v>
      </c>
      <c r="Q675" s="2" t="s">
        <v>2179</v>
      </c>
      <c r="R675" s="2"/>
      <c r="S675" s="2" t="s">
        <v>91</v>
      </c>
      <c r="T675" s="2" t="s">
        <v>2117</v>
      </c>
      <c r="U675" s="2" t="s">
        <v>757</v>
      </c>
      <c r="V675" s="2" t="s">
        <v>2180</v>
      </c>
      <c r="W675" s="2"/>
      <c r="X675" s="2" t="s">
        <v>91</v>
      </c>
      <c r="Y675" s="2" t="s">
        <v>2181</v>
      </c>
      <c r="Z675" s="2" t="s">
        <v>757</v>
      </c>
      <c r="AA675" s="2"/>
      <c r="AB675" s="2"/>
      <c r="AC675" s="2"/>
      <c r="AD675" s="2"/>
      <c r="AE675" s="2"/>
    </row>
    <row r="676" ht="15.75" customHeight="1">
      <c r="A676" s="2">
        <v>676.0</v>
      </c>
      <c r="B676" s="2" t="s">
        <v>2182</v>
      </c>
      <c r="C676" s="2" t="s">
        <v>2183</v>
      </c>
      <c r="D676" s="2" t="s">
        <v>33</v>
      </c>
      <c r="E676" s="2" t="s">
        <v>34</v>
      </c>
      <c r="F676" s="3" t="s">
        <v>35</v>
      </c>
      <c r="G676" s="2"/>
      <c r="H676" s="2" t="s">
        <v>34</v>
      </c>
      <c r="I676" s="2" t="s">
        <v>36</v>
      </c>
      <c r="J676" s="2" t="s">
        <v>2184</v>
      </c>
      <c r="K676" s="4" t="str">
        <f t="shared" ref="K676:K677" si="89">HYPERLINK("https://openlibrary.org/works/OL44713386W","Abrir enlace")</f>
        <v>Abrir enlace</v>
      </c>
      <c r="L676" s="2" t="s">
        <v>2185</v>
      </c>
      <c r="M676" s="2"/>
      <c r="N676" s="2" t="s">
        <v>45</v>
      </c>
      <c r="O676" s="2"/>
      <c r="P676" s="4" t="str">
        <f t="shared" ref="P676:P677" si="90">HYPERLINK("https://openlibrary.org/works/OL44713386W","Abrir enlace")</f>
        <v>Abrir enlace</v>
      </c>
      <c r="Q676" s="2"/>
      <c r="R676" s="2"/>
      <c r="S676" s="2"/>
      <c r="T676" s="2"/>
      <c r="U676" s="2"/>
      <c r="V676" s="2"/>
      <c r="W676" s="2"/>
      <c r="X676" s="2"/>
      <c r="Y676" s="2"/>
      <c r="Z676" s="2"/>
      <c r="AA676" s="2" t="s">
        <v>60</v>
      </c>
      <c r="AB676" s="2" t="s">
        <v>2186</v>
      </c>
      <c r="AC676" s="2"/>
      <c r="AD676" s="2"/>
      <c r="AE676" s="2"/>
    </row>
    <row r="677" ht="15.75" customHeight="1">
      <c r="A677" s="2">
        <v>677.0</v>
      </c>
      <c r="B677" s="2" t="s">
        <v>2182</v>
      </c>
      <c r="C677" s="2" t="s">
        <v>2183</v>
      </c>
      <c r="D677" s="2" t="s">
        <v>33</v>
      </c>
      <c r="E677" s="2" t="s">
        <v>112</v>
      </c>
      <c r="F677" s="3" t="s">
        <v>35</v>
      </c>
      <c r="G677" s="2"/>
      <c r="H677" s="2" t="s">
        <v>112</v>
      </c>
      <c r="I677" s="2" t="s">
        <v>36</v>
      </c>
      <c r="J677" s="2" t="s">
        <v>37</v>
      </c>
      <c r="K677" s="4" t="str">
        <f t="shared" si="89"/>
        <v>Abrir enlace</v>
      </c>
      <c r="L677" s="2" t="s">
        <v>2185</v>
      </c>
      <c r="M677" s="2"/>
      <c r="N677" s="2" t="s">
        <v>45</v>
      </c>
      <c r="O677" s="2"/>
      <c r="P677" s="4" t="str">
        <f t="shared" si="90"/>
        <v>Abrir enlace</v>
      </c>
      <c r="Q677" s="2"/>
      <c r="R677" s="2"/>
      <c r="S677" s="2"/>
      <c r="T677" s="2"/>
      <c r="U677" s="2"/>
      <c r="V677" s="2"/>
      <c r="W677" s="2"/>
      <c r="X677" s="2"/>
      <c r="Y677" s="2"/>
      <c r="Z677" s="2"/>
      <c r="AA677" s="2" t="s">
        <v>60</v>
      </c>
      <c r="AB677" s="2" t="s">
        <v>114</v>
      </c>
      <c r="AC677" s="2"/>
      <c r="AD677" s="2"/>
      <c r="AE677" s="2"/>
    </row>
    <row r="678" ht="15.75" customHeight="1">
      <c r="A678" s="2">
        <v>678.0</v>
      </c>
      <c r="B678" s="2" t="s">
        <v>2187</v>
      </c>
      <c r="C678" s="2" t="s">
        <v>974</v>
      </c>
      <c r="D678" s="2" t="s">
        <v>33</v>
      </c>
      <c r="E678" s="2" t="s">
        <v>34</v>
      </c>
      <c r="F678" s="3" t="s">
        <v>35</v>
      </c>
      <c r="G678" s="2"/>
      <c r="H678" s="2" t="s">
        <v>34</v>
      </c>
      <c r="I678" s="2" t="s">
        <v>168</v>
      </c>
      <c r="J678" s="2" t="s">
        <v>2188</v>
      </c>
      <c r="K678" s="4" t="str">
        <f t="shared" ref="K678:K680" si="91">HYPERLINK("https://openlibrary.org/works/OL38923019W","Abrir enlace")</f>
        <v>Abrir enlace</v>
      </c>
      <c r="L678" s="2" t="s">
        <v>2189</v>
      </c>
      <c r="M678" s="2"/>
      <c r="N678" s="2" t="s">
        <v>45</v>
      </c>
      <c r="O678" s="2"/>
      <c r="P678" s="4" t="str">
        <f t="shared" ref="P678:P680" si="92">HYPERLINK("https://openlibrary.org/works/OL38923019W","Abrir enlace")</f>
        <v>Abrir enlace</v>
      </c>
      <c r="Q678" s="2"/>
      <c r="R678" s="2"/>
      <c r="S678" s="2"/>
      <c r="T678" s="2"/>
      <c r="U678" s="2"/>
      <c r="V678" s="2"/>
      <c r="W678" s="2"/>
      <c r="X678" s="2"/>
      <c r="Y678" s="2"/>
      <c r="Z678" s="2"/>
      <c r="AA678" s="2" t="s">
        <v>60</v>
      </c>
      <c r="AB678" s="2" t="s">
        <v>2190</v>
      </c>
      <c r="AC678" s="2"/>
      <c r="AD678" s="2"/>
      <c r="AE678" s="2"/>
    </row>
    <row r="679" ht="15.75" customHeight="1">
      <c r="A679" s="2">
        <v>679.0</v>
      </c>
      <c r="B679" s="2" t="s">
        <v>2187</v>
      </c>
      <c r="C679" s="2" t="s">
        <v>974</v>
      </c>
      <c r="D679" s="2" t="s">
        <v>33</v>
      </c>
      <c r="E679" s="2" t="s">
        <v>34</v>
      </c>
      <c r="F679" s="3" t="s">
        <v>35</v>
      </c>
      <c r="G679" s="2"/>
      <c r="H679" s="2" t="s">
        <v>34</v>
      </c>
      <c r="I679" s="2" t="s">
        <v>168</v>
      </c>
      <c r="J679" s="2" t="s">
        <v>2188</v>
      </c>
      <c r="K679" s="4" t="str">
        <f t="shared" si="91"/>
        <v>Abrir enlace</v>
      </c>
      <c r="L679" s="2" t="s">
        <v>2189</v>
      </c>
      <c r="M679" s="2"/>
      <c r="N679" s="2" t="s">
        <v>45</v>
      </c>
      <c r="O679" s="2"/>
      <c r="P679" s="4" t="str">
        <f t="shared" si="92"/>
        <v>Abrir enlace</v>
      </c>
      <c r="Q679" s="2"/>
      <c r="R679" s="2"/>
      <c r="S679" s="2"/>
      <c r="T679" s="2"/>
      <c r="U679" s="2"/>
      <c r="V679" s="2"/>
      <c r="W679" s="2"/>
      <c r="X679" s="2"/>
      <c r="Y679" s="2"/>
      <c r="Z679" s="2"/>
      <c r="AA679" s="2" t="s">
        <v>60</v>
      </c>
      <c r="AB679" s="2" t="s">
        <v>2190</v>
      </c>
      <c r="AC679" s="2"/>
      <c r="AD679" s="2"/>
      <c r="AE679" s="2"/>
    </row>
    <row r="680" ht="15.75" customHeight="1">
      <c r="A680" s="2">
        <v>680.0</v>
      </c>
      <c r="B680" s="2" t="s">
        <v>2187</v>
      </c>
      <c r="C680" s="2" t="s">
        <v>974</v>
      </c>
      <c r="D680" s="2" t="s">
        <v>33</v>
      </c>
      <c r="E680" s="2" t="s">
        <v>34</v>
      </c>
      <c r="F680" s="3" t="s">
        <v>35</v>
      </c>
      <c r="G680" s="2"/>
      <c r="H680" s="2" t="s">
        <v>34</v>
      </c>
      <c r="I680" s="2" t="s">
        <v>168</v>
      </c>
      <c r="J680" s="2" t="s">
        <v>2188</v>
      </c>
      <c r="K680" s="4" t="str">
        <f t="shared" si="91"/>
        <v>Abrir enlace</v>
      </c>
      <c r="L680" s="2" t="s">
        <v>2189</v>
      </c>
      <c r="M680" s="2"/>
      <c r="N680" s="2" t="s">
        <v>45</v>
      </c>
      <c r="O680" s="2"/>
      <c r="P680" s="4" t="str">
        <f t="shared" si="92"/>
        <v>Abrir enlace</v>
      </c>
      <c r="Q680" s="2"/>
      <c r="R680" s="2"/>
      <c r="S680" s="2"/>
      <c r="T680" s="2"/>
      <c r="U680" s="2"/>
      <c r="V680" s="2"/>
      <c r="W680" s="2"/>
      <c r="X680" s="2"/>
      <c r="Y680" s="2"/>
      <c r="Z680" s="2"/>
      <c r="AA680" s="2" t="s">
        <v>60</v>
      </c>
      <c r="AB680" s="2" t="s">
        <v>2190</v>
      </c>
      <c r="AC680" s="2"/>
      <c r="AD680" s="2"/>
      <c r="AE680" s="2"/>
    </row>
    <row r="681" ht="15.75" customHeight="1">
      <c r="A681" s="2">
        <v>681.0</v>
      </c>
      <c r="B681" s="2" t="s">
        <v>2191</v>
      </c>
      <c r="C681" s="2" t="s">
        <v>2192</v>
      </c>
      <c r="D681" s="2" t="s">
        <v>33</v>
      </c>
      <c r="E681" s="2" t="s">
        <v>64</v>
      </c>
      <c r="F681" s="2" t="s">
        <v>35</v>
      </c>
      <c r="G681" s="2"/>
      <c r="H681" s="2" t="s">
        <v>64</v>
      </c>
      <c r="I681" s="2" t="s">
        <v>36</v>
      </c>
      <c r="J681" s="2" t="s">
        <v>2193</v>
      </c>
      <c r="K681" s="4" t="str">
        <f>HYPERLINK("https://catalog.hathitrust.org/Record/010105036","Abrir enlace")</f>
        <v>Abrir enlace</v>
      </c>
      <c r="L681" s="2" t="s">
        <v>2194</v>
      </c>
      <c r="M681" s="2"/>
      <c r="N681" s="2" t="s">
        <v>91</v>
      </c>
      <c r="O681" s="2" t="s">
        <v>1492</v>
      </c>
      <c r="P681" s="4" t="str">
        <f>HYPERLINK("https://catalog.hathitrust.org/Record/010105036","Abrir enlace")</f>
        <v>Abrir enlace</v>
      </c>
      <c r="Q681" s="2" t="s">
        <v>2195</v>
      </c>
      <c r="R681" s="2"/>
      <c r="S681" s="2" t="s">
        <v>91</v>
      </c>
      <c r="T681" s="2" t="s">
        <v>2196</v>
      </c>
      <c r="U681" s="4" t="str">
        <f>HYPERLINK("https://archive.org/details/bub_gb_IA2O9BSJcRwC","Abrir enlace")</f>
        <v>Abrir enlace</v>
      </c>
      <c r="V681" s="2" t="s">
        <v>2197</v>
      </c>
      <c r="W681" s="2"/>
      <c r="X681" s="2" t="s">
        <v>91</v>
      </c>
      <c r="Y681" s="2" t="s">
        <v>2198</v>
      </c>
      <c r="Z681" s="4" t="str">
        <f>HYPERLINK("https://www.gettextbooks.com/isbn/9781104206390/","Abrir enlace")</f>
        <v>Abrir enlace</v>
      </c>
      <c r="AA681" s="2"/>
      <c r="AB681" s="2"/>
      <c r="AC681" s="2"/>
      <c r="AD681" s="2"/>
      <c r="AE681" s="2"/>
    </row>
    <row r="682" ht="15.75" customHeight="1">
      <c r="A682" s="2">
        <v>682.0</v>
      </c>
      <c r="B682" s="2" t="s">
        <v>2191</v>
      </c>
      <c r="C682" s="2" t="s">
        <v>2192</v>
      </c>
      <c r="D682" s="2" t="s">
        <v>33</v>
      </c>
      <c r="E682" s="2" t="s">
        <v>64</v>
      </c>
      <c r="F682" s="2" t="s">
        <v>35</v>
      </c>
      <c r="G682" s="2"/>
      <c r="H682" s="2" t="s">
        <v>64</v>
      </c>
      <c r="I682" s="2" t="s">
        <v>36</v>
      </c>
      <c r="J682" s="2" t="s">
        <v>2193</v>
      </c>
      <c r="K682" s="2" t="s">
        <v>757</v>
      </c>
      <c r="L682" s="2" t="s">
        <v>2194</v>
      </c>
      <c r="M682" s="2"/>
      <c r="N682" s="2" t="s">
        <v>91</v>
      </c>
      <c r="O682" s="2" t="s">
        <v>1492</v>
      </c>
      <c r="P682" s="2" t="s">
        <v>757</v>
      </c>
      <c r="Q682" s="2" t="s">
        <v>2195</v>
      </c>
      <c r="R682" s="2"/>
      <c r="S682" s="2" t="s">
        <v>91</v>
      </c>
      <c r="T682" s="2" t="s">
        <v>2196</v>
      </c>
      <c r="U682" s="2" t="s">
        <v>757</v>
      </c>
      <c r="V682" s="2" t="s">
        <v>2197</v>
      </c>
      <c r="W682" s="2"/>
      <c r="X682" s="2" t="s">
        <v>91</v>
      </c>
      <c r="Y682" s="2" t="s">
        <v>2198</v>
      </c>
      <c r="Z682" s="2" t="s">
        <v>757</v>
      </c>
      <c r="AA682" s="2"/>
      <c r="AB682" s="2"/>
      <c r="AC682" s="2"/>
      <c r="AD682" s="2"/>
      <c r="AE682" s="2"/>
    </row>
    <row r="683" ht="15.75" customHeight="1">
      <c r="A683" s="2">
        <v>683.0</v>
      </c>
      <c r="B683" s="2" t="s">
        <v>2199</v>
      </c>
      <c r="C683" s="2" t="s">
        <v>2200</v>
      </c>
      <c r="D683" s="2" t="s">
        <v>33</v>
      </c>
      <c r="E683" s="2" t="s">
        <v>64</v>
      </c>
      <c r="F683" s="3" t="s">
        <v>35</v>
      </c>
      <c r="G683" s="2"/>
      <c r="H683" s="2" t="s">
        <v>64</v>
      </c>
      <c r="I683" s="2" t="s">
        <v>36</v>
      </c>
      <c r="J683" s="2" t="s">
        <v>37</v>
      </c>
      <c r="K683" s="4" t="str">
        <f>HYPERLINK("https://openlibrary.org/works/OL28894898W","Abrir enlace")</f>
        <v>Abrir enlace</v>
      </c>
      <c r="L683" s="2" t="s">
        <v>1365</v>
      </c>
      <c r="M683" s="2"/>
      <c r="N683" s="2" t="s">
        <v>45</v>
      </c>
      <c r="O683" s="2"/>
      <c r="P683" s="4" t="str">
        <f>HYPERLINK("https://openlibrary.org/works/OL28894898W","Abrir enlace")</f>
        <v>Abrir enlace</v>
      </c>
      <c r="Q683" s="2"/>
      <c r="R683" s="2"/>
      <c r="S683" s="2"/>
      <c r="T683" s="2"/>
      <c r="U683" s="2"/>
      <c r="V683" s="2"/>
      <c r="W683" s="2"/>
      <c r="X683" s="2"/>
      <c r="Y683" s="2"/>
      <c r="Z683" s="2"/>
      <c r="AA683" s="2" t="s">
        <v>51</v>
      </c>
      <c r="AB683" s="2" t="s">
        <v>67</v>
      </c>
      <c r="AC683" s="2"/>
      <c r="AD683" s="2"/>
      <c r="AE683" s="2"/>
    </row>
    <row r="684" ht="15.75" customHeight="1">
      <c r="A684" s="2">
        <v>684.0</v>
      </c>
      <c r="B684" s="2" t="s">
        <v>2201</v>
      </c>
      <c r="C684" s="2" t="s">
        <v>2202</v>
      </c>
      <c r="D684" s="2" t="s">
        <v>33</v>
      </c>
      <c r="E684" s="2" t="s">
        <v>64</v>
      </c>
      <c r="F684" s="3" t="s">
        <v>35</v>
      </c>
      <c r="G684" s="2"/>
      <c r="H684" s="2" t="s">
        <v>64</v>
      </c>
      <c r="I684" s="2" t="s">
        <v>168</v>
      </c>
      <c r="J684" s="2" t="s">
        <v>2203</v>
      </c>
      <c r="K684" s="4" t="str">
        <f>HYPERLINK("https://openlibrary.org/works/OL4518065W","Abrir enlace")</f>
        <v>Abrir enlace</v>
      </c>
      <c r="L684" s="2" t="s">
        <v>2201</v>
      </c>
      <c r="M684" s="2"/>
      <c r="N684" s="2" t="s">
        <v>45</v>
      </c>
      <c r="O684" s="2"/>
      <c r="P684" s="4" t="str">
        <f>HYPERLINK("https://openlibrary.org/works/OL4518065W","Abrir enlace")</f>
        <v>Abrir enlace</v>
      </c>
      <c r="Q684" s="2"/>
      <c r="R684" s="2"/>
      <c r="S684" s="2"/>
      <c r="T684" s="2"/>
      <c r="U684" s="2"/>
      <c r="V684" s="2"/>
      <c r="W684" s="2"/>
      <c r="X684" s="2"/>
      <c r="Y684" s="2"/>
      <c r="Z684" s="2"/>
      <c r="AA684" s="2" t="s">
        <v>40</v>
      </c>
      <c r="AB684" s="2" t="s">
        <v>2204</v>
      </c>
      <c r="AC684" s="2"/>
      <c r="AD684" s="2"/>
      <c r="AE684" s="2"/>
    </row>
    <row r="685" ht="15.75" customHeight="1">
      <c r="A685" s="2">
        <v>685.0</v>
      </c>
      <c r="B685" s="2" t="s">
        <v>2205</v>
      </c>
      <c r="C685" s="2" t="s">
        <v>2206</v>
      </c>
      <c r="D685" s="2" t="s">
        <v>49</v>
      </c>
      <c r="E685" s="2" t="s">
        <v>70</v>
      </c>
      <c r="F685" s="2" t="s">
        <v>35</v>
      </c>
      <c r="G685" s="2"/>
      <c r="H685" s="2" t="s">
        <v>70</v>
      </c>
      <c r="I685" s="2" t="s">
        <v>168</v>
      </c>
      <c r="J685" s="2" t="s">
        <v>2207</v>
      </c>
      <c r="K685" s="4" t="str">
        <f>HYPERLINK("https://catalog.hathitrust.org/Record/008428368","Abrir enlace")</f>
        <v>Abrir enlace</v>
      </c>
      <c r="L685" s="2" t="s">
        <v>2208</v>
      </c>
      <c r="M685" s="2"/>
      <c r="N685" s="2" t="s">
        <v>91</v>
      </c>
      <c r="O685" s="2" t="s">
        <v>2209</v>
      </c>
      <c r="P685" s="4" t="str">
        <f>HYPERLINK("https://catalog.hathitrust.org/Record/008428368","Abrir enlace")</f>
        <v>Abrir enlace</v>
      </c>
      <c r="Q685" s="2" t="s">
        <v>2210</v>
      </c>
      <c r="R685" s="2"/>
      <c r="S685" s="2" t="s">
        <v>91</v>
      </c>
      <c r="T685" s="2" t="s">
        <v>1776</v>
      </c>
      <c r="U685" s="4" t="str">
        <f>HYPERLINK("https://www.biblio.com/book/opera-vol-vi-apomnemoneymaton-biblia-tessara/d/883547986","Abrir enlace")</f>
        <v>Abrir enlace</v>
      </c>
      <c r="V685" s="2" t="s">
        <v>2211</v>
      </c>
      <c r="W685" s="2"/>
      <c r="X685" s="2" t="s">
        <v>91</v>
      </c>
      <c r="Y685" s="2" t="s">
        <v>2212</v>
      </c>
      <c r="Z685" s="4" t="str">
        <f>HYPERLINK("https://www.librarysearch.manchester.ac.uk/discovery/fulldisplay/alma9910647234401631/44MAN_INST:MU_NUI","Abrir enlace")</f>
        <v>Abrir enlace</v>
      </c>
      <c r="AA685" s="2"/>
      <c r="AB685" s="2"/>
      <c r="AC685" s="2"/>
      <c r="AD685" s="2"/>
      <c r="AE685" s="2"/>
    </row>
    <row r="686" ht="15.75" customHeight="1">
      <c r="A686" s="2">
        <v>686.0</v>
      </c>
      <c r="B686" s="2" t="s">
        <v>2213</v>
      </c>
      <c r="C686" s="2"/>
      <c r="D686" s="2" t="s">
        <v>99</v>
      </c>
      <c r="E686" s="2" t="s">
        <v>34</v>
      </c>
      <c r="F686" s="2" t="s">
        <v>35</v>
      </c>
      <c r="G686" s="2"/>
      <c r="H686" s="2" t="s">
        <v>34</v>
      </c>
      <c r="I686" s="2" t="s">
        <v>36</v>
      </c>
      <c r="J686" s="2" t="s">
        <v>2214</v>
      </c>
      <c r="K686" s="4" t="str">
        <f>HYPERLINK("https://archive.org/details/LuisArnaldichELORIGENDELMUNDOYDELHOMBRESEGUNLABIBLIA_201809","Abrir enlace")</f>
        <v>Abrir enlace</v>
      </c>
      <c r="L686" s="2" t="s">
        <v>2215</v>
      </c>
      <c r="M686" s="2"/>
      <c r="N686" s="2" t="s">
        <v>54</v>
      </c>
      <c r="O686" s="2" t="s">
        <v>2216</v>
      </c>
      <c r="P686" s="4" t="str">
        <f>HYPERLINK("https://archive.org/details/LuisArnaldichELORIGENDELMUNDOYDELHOMBRESEGUNLABIBLIA_201809","Abrir enlace")</f>
        <v>Abrir enlace</v>
      </c>
      <c r="Q686" s="2" t="s">
        <v>2217</v>
      </c>
      <c r="R686" s="2" t="s">
        <v>2218</v>
      </c>
      <c r="S686" s="2" t="s">
        <v>54</v>
      </c>
      <c r="T686" s="2" t="s">
        <v>2219</v>
      </c>
      <c r="U686" s="4" t="str">
        <f>HYPERLINK("https://archive.org/details/LaNuevaBiblia_20131024","Abrir enlace")</f>
        <v>Abrir enlace</v>
      </c>
      <c r="V686" s="2" t="s">
        <v>2220</v>
      </c>
      <c r="W686" s="2" t="s">
        <v>2221</v>
      </c>
      <c r="X686" s="2" t="s">
        <v>54</v>
      </c>
      <c r="Y686" s="2" t="s">
        <v>2222</v>
      </c>
      <c r="Z686" s="4" t="str">
        <f>HYPERLINK("https://archive.org/details/LoQueDiceLaBibliapreguntas","Abrir enlace")</f>
        <v>Abrir enlace</v>
      </c>
      <c r="AA686" s="2"/>
      <c r="AB686" s="2"/>
      <c r="AC686" s="2"/>
      <c r="AD686" s="2"/>
      <c r="AE686" s="2"/>
    </row>
    <row r="687" ht="15.75" customHeight="1">
      <c r="A687" s="2">
        <v>687.0</v>
      </c>
      <c r="B687" s="2" t="s">
        <v>1518</v>
      </c>
      <c r="C687" s="2" t="s">
        <v>263</v>
      </c>
      <c r="D687" s="2" t="s">
        <v>33</v>
      </c>
      <c r="E687" s="2" t="s">
        <v>34</v>
      </c>
      <c r="F687" s="2" t="s">
        <v>35</v>
      </c>
      <c r="G687" s="2"/>
      <c r="H687" s="2" t="s">
        <v>34</v>
      </c>
      <c r="I687" s="2" t="s">
        <v>36</v>
      </c>
      <c r="J687" s="2" t="s">
        <v>1519</v>
      </c>
      <c r="K687" s="2" t="s">
        <v>757</v>
      </c>
      <c r="L687" s="2" t="s">
        <v>1520</v>
      </c>
      <c r="M687" s="2"/>
      <c r="N687" s="2" t="s">
        <v>91</v>
      </c>
      <c r="O687" s="2" t="s">
        <v>92</v>
      </c>
      <c r="P687" s="2" t="s">
        <v>757</v>
      </c>
      <c r="Q687" s="2" t="s">
        <v>1521</v>
      </c>
      <c r="R687" s="2"/>
      <c r="S687" s="2" t="s">
        <v>54</v>
      </c>
      <c r="T687" s="2" t="s">
        <v>1522</v>
      </c>
      <c r="U687" s="2" t="s">
        <v>757</v>
      </c>
      <c r="V687" s="2" t="s">
        <v>1523</v>
      </c>
      <c r="W687" s="2"/>
      <c r="X687" s="2" t="s">
        <v>54</v>
      </c>
      <c r="Y687" s="2" t="s">
        <v>1524</v>
      </c>
      <c r="Z687" s="2" t="s">
        <v>757</v>
      </c>
      <c r="AA687" s="2"/>
      <c r="AB687" s="2"/>
      <c r="AC687" s="2"/>
      <c r="AD687" s="2"/>
      <c r="AE687" s="2"/>
    </row>
    <row r="688" ht="15.75" customHeight="1">
      <c r="A688" s="2">
        <v>688.0</v>
      </c>
      <c r="B688" s="2" t="s">
        <v>2223</v>
      </c>
      <c r="C688" s="2" t="s">
        <v>144</v>
      </c>
      <c r="D688" s="2" t="s">
        <v>33</v>
      </c>
      <c r="E688" s="2" t="s">
        <v>64</v>
      </c>
      <c r="F688" s="2" t="s">
        <v>35</v>
      </c>
      <c r="G688" s="2"/>
      <c r="H688" s="2" t="s">
        <v>64</v>
      </c>
      <c r="I688" s="2" t="s">
        <v>36</v>
      </c>
      <c r="J688" s="2" t="s">
        <v>1713</v>
      </c>
      <c r="K688" s="4" t="str">
        <f>HYPERLINK("https://openlibrary.org/works/OL47146W","Abrir enlace")</f>
        <v>Abrir enlace</v>
      </c>
      <c r="L688" s="2" t="s">
        <v>2224</v>
      </c>
      <c r="M688" s="2" t="s">
        <v>1714</v>
      </c>
      <c r="N688" s="2" t="s">
        <v>45</v>
      </c>
      <c r="O688" s="2" t="s">
        <v>92</v>
      </c>
      <c r="P688" s="4" t="str">
        <f>HYPERLINK("https://openlibrary.org/works/OL47146W","Abrir enlace")</f>
        <v>Abrir enlace</v>
      </c>
      <c r="Q688" s="2" t="s">
        <v>2225</v>
      </c>
      <c r="R688" s="2"/>
      <c r="S688" s="2" t="s">
        <v>91</v>
      </c>
      <c r="T688" s="2" t="s">
        <v>726</v>
      </c>
      <c r="U688" s="4" t="str">
        <f>HYPERLINK("https://wythepedia.wm.edu/index.php/P._Virgilii_Maronis_Opera","Abrir enlace")</f>
        <v>Abrir enlace</v>
      </c>
      <c r="V688" s="2" t="s">
        <v>2226</v>
      </c>
      <c r="W688" s="2" t="s">
        <v>1714</v>
      </c>
      <c r="X688" s="2" t="s">
        <v>45</v>
      </c>
      <c r="Y688" s="2" t="s">
        <v>1862</v>
      </c>
      <c r="Z688" s="4" t="str">
        <f>HYPERLINK("https://openlibrary.org/works/OL16280227W","Abrir enlace")</f>
        <v>Abrir enlace</v>
      </c>
      <c r="AA688" s="2"/>
      <c r="AB688" s="2"/>
      <c r="AC688" s="2"/>
      <c r="AD688" s="2"/>
      <c r="AE688" s="2"/>
    </row>
    <row r="689" ht="15.75" customHeight="1">
      <c r="A689" s="2">
        <v>689.0</v>
      </c>
      <c r="B689" s="2" t="s">
        <v>2223</v>
      </c>
      <c r="C689" s="2" t="s">
        <v>144</v>
      </c>
      <c r="D689" s="2" t="s">
        <v>33</v>
      </c>
      <c r="E689" s="2" t="s">
        <v>64</v>
      </c>
      <c r="F689" s="2" t="s">
        <v>35</v>
      </c>
      <c r="G689" s="2"/>
      <c r="H689" s="2" t="s">
        <v>64</v>
      </c>
      <c r="I689" s="2" t="s">
        <v>36</v>
      </c>
      <c r="J689" s="2" t="s">
        <v>1713</v>
      </c>
      <c r="K689" s="2" t="s">
        <v>757</v>
      </c>
      <c r="L689" s="2" t="s">
        <v>2224</v>
      </c>
      <c r="M689" s="2" t="s">
        <v>1714</v>
      </c>
      <c r="N689" s="2" t="s">
        <v>45</v>
      </c>
      <c r="O689" s="2" t="s">
        <v>92</v>
      </c>
      <c r="P689" s="2" t="s">
        <v>757</v>
      </c>
      <c r="Q689" s="2" t="s">
        <v>2225</v>
      </c>
      <c r="R689" s="2"/>
      <c r="S689" s="2" t="s">
        <v>91</v>
      </c>
      <c r="T689" s="2" t="s">
        <v>726</v>
      </c>
      <c r="U689" s="2" t="s">
        <v>757</v>
      </c>
      <c r="V689" s="2" t="s">
        <v>2226</v>
      </c>
      <c r="W689" s="2" t="s">
        <v>1714</v>
      </c>
      <c r="X689" s="2" t="s">
        <v>45</v>
      </c>
      <c r="Y689" s="2" t="s">
        <v>1862</v>
      </c>
      <c r="Z689" s="2" t="s">
        <v>757</v>
      </c>
      <c r="AA689" s="2"/>
      <c r="AB689" s="2"/>
      <c r="AC689" s="2"/>
      <c r="AD689" s="2"/>
      <c r="AE689" s="2"/>
    </row>
    <row r="690" ht="15.75" customHeight="1">
      <c r="A690" s="2">
        <v>690.0</v>
      </c>
      <c r="B690" s="2" t="s">
        <v>1734</v>
      </c>
      <c r="C690" s="2" t="s">
        <v>1735</v>
      </c>
      <c r="D690" s="2" t="s">
        <v>49</v>
      </c>
      <c r="E690" s="2" t="s">
        <v>34</v>
      </c>
      <c r="F690" s="2" t="s">
        <v>35</v>
      </c>
      <c r="G690" s="2"/>
      <c r="H690" s="2" t="s">
        <v>34</v>
      </c>
      <c r="I690" s="2" t="s">
        <v>189</v>
      </c>
      <c r="J690" s="2" t="s">
        <v>1736</v>
      </c>
      <c r="K690" s="2" t="s">
        <v>757</v>
      </c>
      <c r="L690" s="2" t="s">
        <v>1737</v>
      </c>
      <c r="M690" s="2"/>
      <c r="N690" s="2" t="s">
        <v>91</v>
      </c>
      <c r="O690" s="2" t="s">
        <v>1419</v>
      </c>
      <c r="P690" s="2" t="s">
        <v>757</v>
      </c>
      <c r="Q690" s="2" t="s">
        <v>1738</v>
      </c>
      <c r="R690" s="2"/>
      <c r="S690" s="2" t="s">
        <v>91</v>
      </c>
      <c r="T690" s="2" t="s">
        <v>893</v>
      </c>
      <c r="U690" s="2" t="s">
        <v>757</v>
      </c>
      <c r="V690" s="2" t="s">
        <v>1739</v>
      </c>
      <c r="W690" s="2"/>
      <c r="X690" s="2" t="s">
        <v>91</v>
      </c>
      <c r="Y690" s="2" t="s">
        <v>1740</v>
      </c>
      <c r="Z690" s="2" t="s">
        <v>757</v>
      </c>
      <c r="AA690" s="2"/>
      <c r="AB690" s="2"/>
      <c r="AC690" s="2"/>
      <c r="AD690" s="2"/>
      <c r="AE690" s="2"/>
    </row>
    <row r="691" ht="15.75" customHeight="1">
      <c r="A691" s="2">
        <v>691.0</v>
      </c>
      <c r="B691" s="2" t="s">
        <v>2227</v>
      </c>
      <c r="C691" s="2" t="s">
        <v>77</v>
      </c>
      <c r="D691" s="2" t="s">
        <v>33</v>
      </c>
      <c r="E691" s="2" t="s">
        <v>64</v>
      </c>
      <c r="F691" s="3" t="s">
        <v>35</v>
      </c>
      <c r="G691" s="2"/>
      <c r="H691" s="2" t="s">
        <v>64</v>
      </c>
      <c r="I691" s="2" t="s">
        <v>36</v>
      </c>
      <c r="J691" s="2" t="s">
        <v>78</v>
      </c>
      <c r="K691" s="4" t="str">
        <f>HYPERLINK("https://openlibrary.org/works/OL28438849W","Abrir enlace")</f>
        <v>Abrir enlace</v>
      </c>
      <c r="L691" s="2" t="s">
        <v>2228</v>
      </c>
      <c r="M691" s="2"/>
      <c r="N691" s="2" t="s">
        <v>45</v>
      </c>
      <c r="O691" s="2"/>
      <c r="P691" s="4" t="str">
        <f>HYPERLINK("https://openlibrary.org/works/OL28438849W","Abrir enlace")</f>
        <v>Abrir enlace</v>
      </c>
      <c r="Q691" s="2"/>
      <c r="R691" s="2"/>
      <c r="S691" s="2"/>
      <c r="T691" s="2"/>
      <c r="U691" s="2"/>
      <c r="V691" s="2"/>
      <c r="W691" s="2"/>
      <c r="X691" s="2"/>
      <c r="Y691" s="2"/>
      <c r="Z691" s="2"/>
      <c r="AA691" s="2" t="s">
        <v>40</v>
      </c>
      <c r="AB691" s="2" t="s">
        <v>80</v>
      </c>
      <c r="AC691" s="2"/>
      <c r="AD691" s="2"/>
      <c r="AE691" s="2"/>
    </row>
    <row r="692" ht="15.75" customHeight="1">
      <c r="A692" s="2">
        <v>692.0</v>
      </c>
      <c r="B692" s="2" t="s">
        <v>2229</v>
      </c>
      <c r="C692" s="2" t="s">
        <v>77</v>
      </c>
      <c r="D692" s="2" t="s">
        <v>33</v>
      </c>
      <c r="E692" s="2" t="s">
        <v>64</v>
      </c>
      <c r="F692" s="3" t="s">
        <v>35</v>
      </c>
      <c r="G692" s="2"/>
      <c r="H692" s="2" t="s">
        <v>64</v>
      </c>
      <c r="I692" s="2" t="s">
        <v>36</v>
      </c>
      <c r="J692" s="2" t="s">
        <v>78</v>
      </c>
      <c r="K692" s="4" t="str">
        <f>HYPERLINK("https://openlibrary.org/works/OL36430412W","Abrir enlace")</f>
        <v>Abrir enlace</v>
      </c>
      <c r="L692" s="2" t="s">
        <v>2230</v>
      </c>
      <c r="M692" s="2"/>
      <c r="N692" s="2" t="s">
        <v>45</v>
      </c>
      <c r="O692" s="2"/>
      <c r="P692" s="4" t="str">
        <f>HYPERLINK("https://openlibrary.org/works/OL36430412W","Abrir enlace")</f>
        <v>Abrir enlace</v>
      </c>
      <c r="Q692" s="2"/>
      <c r="R692" s="2"/>
      <c r="S692" s="2"/>
      <c r="T692" s="2"/>
      <c r="U692" s="2"/>
      <c r="V692" s="2"/>
      <c r="W692" s="2"/>
      <c r="X692" s="2"/>
      <c r="Y692" s="2"/>
      <c r="Z692" s="2"/>
      <c r="AA692" s="2" t="s">
        <v>66</v>
      </c>
      <c r="AB692" s="2" t="s">
        <v>80</v>
      </c>
      <c r="AC692" s="2"/>
      <c r="AD692" s="2"/>
      <c r="AE692" s="2"/>
    </row>
    <row r="693" ht="15.75" customHeight="1">
      <c r="A693" s="2">
        <v>693.0</v>
      </c>
      <c r="B693" s="2" t="s">
        <v>2231</v>
      </c>
      <c r="C693" s="2" t="s">
        <v>77</v>
      </c>
      <c r="D693" s="2" t="s">
        <v>33</v>
      </c>
      <c r="E693" s="2" t="s">
        <v>64</v>
      </c>
      <c r="F693" s="3" t="s">
        <v>35</v>
      </c>
      <c r="G693" s="2"/>
      <c r="H693" s="2" t="s">
        <v>64</v>
      </c>
      <c r="I693" s="2" t="s">
        <v>36</v>
      </c>
      <c r="J693" s="2" t="s">
        <v>2232</v>
      </c>
      <c r="K693" s="2"/>
      <c r="L693" s="2"/>
      <c r="M693" s="2"/>
      <c r="N693" s="2"/>
      <c r="O693" s="2"/>
      <c r="P693" s="2"/>
      <c r="Q693" s="2"/>
      <c r="R693" s="2"/>
      <c r="S693" s="2"/>
      <c r="T693" s="2"/>
      <c r="U693" s="2"/>
      <c r="V693" s="2"/>
      <c r="W693" s="2"/>
      <c r="X693" s="2"/>
      <c r="Y693" s="2"/>
      <c r="Z693" s="2"/>
      <c r="AA693" s="2" t="s">
        <v>40</v>
      </c>
      <c r="AB693" s="2" t="s">
        <v>150</v>
      </c>
      <c r="AC693" s="2"/>
      <c r="AD693" s="2"/>
      <c r="AE693" s="2"/>
    </row>
    <row r="694" ht="15.75" customHeight="1">
      <c r="A694" s="2">
        <v>694.0</v>
      </c>
      <c r="B694" s="2" t="s">
        <v>2233</v>
      </c>
      <c r="C694" s="2" t="s">
        <v>77</v>
      </c>
      <c r="D694" s="2" t="s">
        <v>33</v>
      </c>
      <c r="E694" s="2" t="s">
        <v>64</v>
      </c>
      <c r="F694" s="3" t="s">
        <v>35</v>
      </c>
      <c r="G694" s="2"/>
      <c r="H694" s="2" t="s">
        <v>64</v>
      </c>
      <c r="I694" s="2" t="s">
        <v>36</v>
      </c>
      <c r="J694" s="2" t="s">
        <v>78</v>
      </c>
      <c r="K694" s="2"/>
      <c r="L694" s="2"/>
      <c r="M694" s="2"/>
      <c r="N694" s="2"/>
      <c r="O694" s="2"/>
      <c r="P694" s="2"/>
      <c r="Q694" s="2"/>
      <c r="R694" s="2"/>
      <c r="S694" s="2"/>
      <c r="T694" s="2"/>
      <c r="U694" s="2"/>
      <c r="V694" s="2"/>
      <c r="W694" s="2"/>
      <c r="X694" s="2"/>
      <c r="Y694" s="2"/>
      <c r="Z694" s="2"/>
      <c r="AA694" s="2" t="s">
        <v>40</v>
      </c>
      <c r="AB694" s="2" t="s">
        <v>80</v>
      </c>
      <c r="AC694" s="2"/>
      <c r="AD694" s="2"/>
      <c r="AE694" s="2"/>
    </row>
    <row r="695" ht="15.75" customHeight="1">
      <c r="A695" s="2">
        <v>695.0</v>
      </c>
      <c r="B695" s="2" t="s">
        <v>2234</v>
      </c>
      <c r="C695" s="2" t="s">
        <v>77</v>
      </c>
      <c r="D695" s="2" t="s">
        <v>33</v>
      </c>
      <c r="E695" s="2" t="s">
        <v>64</v>
      </c>
      <c r="F695" s="3" t="s">
        <v>35</v>
      </c>
      <c r="G695" s="2"/>
      <c r="H695" s="2" t="s">
        <v>64</v>
      </c>
      <c r="I695" s="2" t="s">
        <v>36</v>
      </c>
      <c r="J695" s="2" t="s">
        <v>78</v>
      </c>
      <c r="K695" s="2"/>
      <c r="L695" s="2"/>
      <c r="M695" s="2"/>
      <c r="N695" s="2"/>
      <c r="O695" s="2"/>
      <c r="P695" s="2"/>
      <c r="Q695" s="2"/>
      <c r="R695" s="2"/>
      <c r="S695" s="2"/>
      <c r="T695" s="2"/>
      <c r="U695" s="2"/>
      <c r="V695" s="2"/>
      <c r="W695" s="2"/>
      <c r="X695" s="2"/>
      <c r="Y695" s="2"/>
      <c r="Z695" s="2"/>
      <c r="AA695" s="2" t="s">
        <v>40</v>
      </c>
      <c r="AB695" s="2" t="s">
        <v>80</v>
      </c>
      <c r="AC695" s="2"/>
      <c r="AD695" s="2"/>
      <c r="AE695" s="2"/>
    </row>
    <row r="696" ht="15.75" customHeight="1">
      <c r="A696" s="2">
        <v>696.0</v>
      </c>
      <c r="B696" s="2" t="s">
        <v>2235</v>
      </c>
      <c r="C696" s="2" t="s">
        <v>77</v>
      </c>
      <c r="D696" s="2" t="s">
        <v>33</v>
      </c>
      <c r="E696" s="2" t="s">
        <v>64</v>
      </c>
      <c r="F696" s="3" t="s">
        <v>35</v>
      </c>
      <c r="G696" s="2"/>
      <c r="H696" s="2" t="s">
        <v>64</v>
      </c>
      <c r="I696" s="2" t="s">
        <v>36</v>
      </c>
      <c r="J696" s="2" t="s">
        <v>78</v>
      </c>
      <c r="K696" s="2"/>
      <c r="L696" s="2"/>
      <c r="M696" s="2"/>
      <c r="N696" s="2"/>
      <c r="O696" s="2"/>
      <c r="P696" s="2"/>
      <c r="Q696" s="2"/>
      <c r="R696" s="2"/>
      <c r="S696" s="2"/>
      <c r="T696" s="2"/>
      <c r="U696" s="2"/>
      <c r="V696" s="2"/>
      <c r="W696" s="2"/>
      <c r="X696" s="2"/>
      <c r="Y696" s="2"/>
      <c r="Z696" s="2"/>
      <c r="AA696" s="2" t="s">
        <v>40</v>
      </c>
      <c r="AB696" s="2" t="s">
        <v>80</v>
      </c>
      <c r="AC696" s="2"/>
      <c r="AD696" s="2"/>
      <c r="AE696" s="2"/>
    </row>
    <row r="697" ht="15.75" customHeight="1">
      <c r="A697" s="2">
        <v>697.0</v>
      </c>
      <c r="B697" s="2" t="s">
        <v>2236</v>
      </c>
      <c r="C697" s="2" t="s">
        <v>77</v>
      </c>
      <c r="D697" s="2" t="s">
        <v>33</v>
      </c>
      <c r="E697" s="2" t="s">
        <v>64</v>
      </c>
      <c r="F697" s="3" t="s">
        <v>35</v>
      </c>
      <c r="G697" s="2"/>
      <c r="H697" s="2" t="s">
        <v>64</v>
      </c>
      <c r="I697" s="2" t="s">
        <v>36</v>
      </c>
      <c r="J697" s="2" t="s">
        <v>78</v>
      </c>
      <c r="K697" s="2"/>
      <c r="L697" s="2"/>
      <c r="M697" s="2"/>
      <c r="N697" s="2"/>
      <c r="O697" s="2"/>
      <c r="P697" s="2"/>
      <c r="Q697" s="2"/>
      <c r="R697" s="2"/>
      <c r="S697" s="2"/>
      <c r="T697" s="2"/>
      <c r="U697" s="2"/>
      <c r="V697" s="2"/>
      <c r="W697" s="2"/>
      <c r="X697" s="2"/>
      <c r="Y697" s="2"/>
      <c r="Z697" s="2"/>
      <c r="AA697" s="2" t="s">
        <v>40</v>
      </c>
      <c r="AB697" s="2" t="s">
        <v>80</v>
      </c>
      <c r="AC697" s="2"/>
      <c r="AD697" s="2"/>
      <c r="AE697" s="2"/>
    </row>
    <row r="698" ht="15.75" customHeight="1">
      <c r="A698" s="2">
        <v>698.0</v>
      </c>
      <c r="B698" s="2" t="s">
        <v>2237</v>
      </c>
      <c r="C698" s="2" t="s">
        <v>77</v>
      </c>
      <c r="D698" s="2" t="s">
        <v>33</v>
      </c>
      <c r="E698" s="2" t="s">
        <v>64</v>
      </c>
      <c r="F698" s="3" t="s">
        <v>35</v>
      </c>
      <c r="G698" s="2"/>
      <c r="H698" s="2" t="s">
        <v>64</v>
      </c>
      <c r="I698" s="2" t="s">
        <v>36</v>
      </c>
      <c r="J698" s="2" t="s">
        <v>78</v>
      </c>
      <c r="K698" s="2"/>
      <c r="L698" s="2"/>
      <c r="M698" s="2"/>
      <c r="N698" s="2"/>
      <c r="O698" s="2"/>
      <c r="P698" s="2"/>
      <c r="Q698" s="2"/>
      <c r="R698" s="2"/>
      <c r="S698" s="2"/>
      <c r="T698" s="2"/>
      <c r="U698" s="2"/>
      <c r="V698" s="2"/>
      <c r="W698" s="2"/>
      <c r="X698" s="2"/>
      <c r="Y698" s="2"/>
      <c r="Z698" s="2"/>
      <c r="AA698" s="2" t="s">
        <v>40</v>
      </c>
      <c r="AB698" s="2" t="s">
        <v>80</v>
      </c>
      <c r="AC698" s="2"/>
      <c r="AD698" s="2"/>
      <c r="AE698" s="2"/>
    </row>
    <row r="699" ht="15.75" customHeight="1">
      <c r="A699" s="2">
        <v>699.0</v>
      </c>
      <c r="B699" s="2" t="s">
        <v>2238</v>
      </c>
      <c r="C699" s="2" t="s">
        <v>77</v>
      </c>
      <c r="D699" s="2" t="s">
        <v>33</v>
      </c>
      <c r="E699" s="2" t="s">
        <v>64</v>
      </c>
      <c r="F699" s="3" t="s">
        <v>35</v>
      </c>
      <c r="G699" s="2"/>
      <c r="H699" s="2" t="s">
        <v>64</v>
      </c>
      <c r="I699" s="2" t="s">
        <v>36</v>
      </c>
      <c r="J699" s="2" t="s">
        <v>78</v>
      </c>
      <c r="K699" s="2"/>
      <c r="L699" s="2"/>
      <c r="M699" s="2"/>
      <c r="N699" s="2"/>
      <c r="O699" s="2"/>
      <c r="P699" s="2"/>
      <c r="Q699" s="2"/>
      <c r="R699" s="2"/>
      <c r="S699" s="2"/>
      <c r="T699" s="2"/>
      <c r="U699" s="2"/>
      <c r="V699" s="2"/>
      <c r="W699" s="2"/>
      <c r="X699" s="2"/>
      <c r="Y699" s="2"/>
      <c r="Z699" s="2"/>
      <c r="AA699" s="2" t="s">
        <v>40</v>
      </c>
      <c r="AB699" s="2" t="s">
        <v>80</v>
      </c>
      <c r="AC699" s="2"/>
      <c r="AD699" s="2"/>
      <c r="AE699" s="2"/>
    </row>
    <row r="700" ht="15.75" customHeight="1">
      <c r="A700" s="2">
        <v>700.0</v>
      </c>
      <c r="B700" s="2" t="s">
        <v>2239</v>
      </c>
      <c r="C700" s="2" t="s">
        <v>77</v>
      </c>
      <c r="D700" s="2" t="s">
        <v>33</v>
      </c>
      <c r="E700" s="2" t="s">
        <v>64</v>
      </c>
      <c r="F700" s="3" t="s">
        <v>35</v>
      </c>
      <c r="G700" s="2"/>
      <c r="H700" s="2" t="s">
        <v>64</v>
      </c>
      <c r="I700" s="2" t="s">
        <v>36</v>
      </c>
      <c r="J700" s="2" t="s">
        <v>2240</v>
      </c>
      <c r="K700" s="4" t="str">
        <f>HYPERLINK("https://openlibrary.org/works/OL36287W","Abrir enlace")</f>
        <v>Abrir enlace</v>
      </c>
      <c r="L700" s="2" t="s">
        <v>2241</v>
      </c>
      <c r="M700" s="2"/>
      <c r="N700" s="2" t="s">
        <v>45</v>
      </c>
      <c r="O700" s="2"/>
      <c r="P700" s="4" t="str">
        <f>HYPERLINK("https://openlibrary.org/works/OL36287W","Abrir enlace")</f>
        <v>Abrir enlace</v>
      </c>
      <c r="Q700" s="2"/>
      <c r="R700" s="2"/>
      <c r="S700" s="2"/>
      <c r="T700" s="2"/>
      <c r="U700" s="2"/>
      <c r="V700" s="2"/>
      <c r="W700" s="2"/>
      <c r="X700" s="2"/>
      <c r="Y700" s="2"/>
      <c r="Z700" s="2"/>
      <c r="AA700" s="2" t="s">
        <v>40</v>
      </c>
      <c r="AB700" s="2" t="s">
        <v>150</v>
      </c>
      <c r="AC700" s="2"/>
      <c r="AD700" s="2"/>
      <c r="AE700" s="2"/>
    </row>
    <row r="701" ht="15.75" customHeight="1">
      <c r="A701" s="2">
        <v>701.0</v>
      </c>
      <c r="B701" s="2" t="s">
        <v>2242</v>
      </c>
      <c r="C701" s="2" t="s">
        <v>77</v>
      </c>
      <c r="D701" s="2" t="s">
        <v>33</v>
      </c>
      <c r="E701" s="2" t="s">
        <v>64</v>
      </c>
      <c r="F701" s="3" t="s">
        <v>35</v>
      </c>
      <c r="G701" s="2"/>
      <c r="H701" s="2" t="s">
        <v>64</v>
      </c>
      <c r="I701" s="2" t="s">
        <v>36</v>
      </c>
      <c r="J701" s="2" t="s">
        <v>78</v>
      </c>
      <c r="K701" s="2"/>
      <c r="L701" s="2"/>
      <c r="M701" s="2"/>
      <c r="N701" s="2"/>
      <c r="O701" s="2"/>
      <c r="P701" s="2"/>
      <c r="Q701" s="2"/>
      <c r="R701" s="2"/>
      <c r="S701" s="2"/>
      <c r="T701" s="2"/>
      <c r="U701" s="2"/>
      <c r="V701" s="2"/>
      <c r="W701" s="2"/>
      <c r="X701" s="2"/>
      <c r="Y701" s="2"/>
      <c r="Z701" s="2"/>
      <c r="AA701" s="2" t="s">
        <v>40</v>
      </c>
      <c r="AB701" s="2" t="s">
        <v>80</v>
      </c>
      <c r="AC701" s="2"/>
      <c r="AD701" s="2"/>
      <c r="AE701" s="2"/>
    </row>
    <row r="702" ht="15.75" customHeight="1">
      <c r="A702" s="2">
        <v>702.0</v>
      </c>
      <c r="B702" s="2" t="s">
        <v>2239</v>
      </c>
      <c r="C702" s="2" t="s">
        <v>77</v>
      </c>
      <c r="D702" s="2" t="s">
        <v>33</v>
      </c>
      <c r="E702" s="2" t="s">
        <v>64</v>
      </c>
      <c r="F702" s="3" t="s">
        <v>35</v>
      </c>
      <c r="G702" s="2"/>
      <c r="H702" s="2" t="s">
        <v>64</v>
      </c>
      <c r="I702" s="2" t="s">
        <v>36</v>
      </c>
      <c r="J702" s="2" t="s">
        <v>78</v>
      </c>
      <c r="K702" s="4" t="str">
        <f>HYPERLINK("https://openlibrary.org/works/OL36287W","Abrir enlace")</f>
        <v>Abrir enlace</v>
      </c>
      <c r="L702" s="2" t="s">
        <v>2241</v>
      </c>
      <c r="M702" s="2"/>
      <c r="N702" s="2" t="s">
        <v>45</v>
      </c>
      <c r="O702" s="2"/>
      <c r="P702" s="4" t="str">
        <f>HYPERLINK("https://openlibrary.org/works/OL36287W","Abrir enlace")</f>
        <v>Abrir enlace</v>
      </c>
      <c r="Q702" s="2"/>
      <c r="R702" s="2"/>
      <c r="S702" s="2"/>
      <c r="T702" s="2"/>
      <c r="U702" s="2"/>
      <c r="V702" s="2"/>
      <c r="W702" s="2"/>
      <c r="X702" s="2"/>
      <c r="Y702" s="2"/>
      <c r="Z702" s="2"/>
      <c r="AA702" s="2" t="s">
        <v>40</v>
      </c>
      <c r="AB702" s="2" t="s">
        <v>80</v>
      </c>
      <c r="AC702" s="2"/>
      <c r="AD702" s="2"/>
      <c r="AE702" s="2"/>
    </row>
    <row r="703" ht="15.75" customHeight="1">
      <c r="A703" s="2">
        <v>703.0</v>
      </c>
      <c r="B703" s="2" t="s">
        <v>2243</v>
      </c>
      <c r="C703" s="2" t="s">
        <v>77</v>
      </c>
      <c r="D703" s="2" t="s">
        <v>33</v>
      </c>
      <c r="E703" s="2" t="s">
        <v>64</v>
      </c>
      <c r="F703" s="3" t="s">
        <v>35</v>
      </c>
      <c r="G703" s="2"/>
      <c r="H703" s="2" t="s">
        <v>64</v>
      </c>
      <c r="I703" s="2" t="s">
        <v>36</v>
      </c>
      <c r="J703" s="2" t="s">
        <v>2244</v>
      </c>
      <c r="K703" s="4" t="str">
        <f>HYPERLINK("https://openlibrary.org/works/OL1099280W","Abrir enlace")</f>
        <v>Abrir enlace</v>
      </c>
      <c r="L703" s="2" t="s">
        <v>2245</v>
      </c>
      <c r="M703" s="2"/>
      <c r="N703" s="2" t="s">
        <v>45</v>
      </c>
      <c r="O703" s="2"/>
      <c r="P703" s="4" t="str">
        <f>HYPERLINK("https://openlibrary.org/works/OL1099280W","Abrir enlace")</f>
        <v>Abrir enlace</v>
      </c>
      <c r="Q703" s="2"/>
      <c r="R703" s="2"/>
      <c r="S703" s="2"/>
      <c r="T703" s="2"/>
      <c r="U703" s="2"/>
      <c r="V703" s="2"/>
      <c r="W703" s="2"/>
      <c r="X703" s="2"/>
      <c r="Y703" s="2"/>
      <c r="Z703" s="2"/>
      <c r="AA703" s="2" t="s">
        <v>40</v>
      </c>
      <c r="AB703" s="2" t="s">
        <v>150</v>
      </c>
      <c r="AC703" s="2"/>
      <c r="AD703" s="2"/>
      <c r="AE703" s="2"/>
    </row>
    <row r="704" ht="15.75" customHeight="1">
      <c r="A704" s="2">
        <v>704.0</v>
      </c>
      <c r="B704" s="2" t="s">
        <v>2246</v>
      </c>
      <c r="C704" s="2" t="s">
        <v>77</v>
      </c>
      <c r="D704" s="2" t="s">
        <v>33</v>
      </c>
      <c r="E704" s="2" t="s">
        <v>64</v>
      </c>
      <c r="F704" s="3" t="s">
        <v>35</v>
      </c>
      <c r="G704" s="2"/>
      <c r="H704" s="2" t="s">
        <v>64</v>
      </c>
      <c r="I704" s="2" t="s">
        <v>36</v>
      </c>
      <c r="J704" s="2" t="s">
        <v>78</v>
      </c>
      <c r="K704" s="2"/>
      <c r="L704" s="2"/>
      <c r="M704" s="2"/>
      <c r="N704" s="2"/>
      <c r="O704" s="2"/>
      <c r="P704" s="2"/>
      <c r="Q704" s="2"/>
      <c r="R704" s="2"/>
      <c r="S704" s="2"/>
      <c r="T704" s="2"/>
      <c r="U704" s="2"/>
      <c r="V704" s="2"/>
      <c r="W704" s="2"/>
      <c r="X704" s="2"/>
      <c r="Y704" s="2"/>
      <c r="Z704" s="2"/>
      <c r="AA704" s="2" t="s">
        <v>40</v>
      </c>
      <c r="AB704" s="2" t="s">
        <v>80</v>
      </c>
      <c r="AC704" s="2"/>
      <c r="AD704" s="2"/>
      <c r="AE704" s="2"/>
    </row>
    <row r="705" ht="15.75" customHeight="1">
      <c r="A705" s="2">
        <v>705.0</v>
      </c>
      <c r="B705" s="2" t="s">
        <v>2247</v>
      </c>
      <c r="C705" s="2" t="s">
        <v>77</v>
      </c>
      <c r="D705" s="2" t="s">
        <v>33</v>
      </c>
      <c r="E705" s="2" t="s">
        <v>64</v>
      </c>
      <c r="F705" s="3" t="s">
        <v>35</v>
      </c>
      <c r="G705" s="2"/>
      <c r="H705" s="2" t="s">
        <v>64</v>
      </c>
      <c r="I705" s="2" t="s">
        <v>36</v>
      </c>
      <c r="J705" s="2" t="s">
        <v>2248</v>
      </c>
      <c r="K705" s="2"/>
      <c r="L705" s="2"/>
      <c r="M705" s="2"/>
      <c r="N705" s="2"/>
      <c r="O705" s="2"/>
      <c r="P705" s="2"/>
      <c r="Q705" s="2"/>
      <c r="R705" s="2"/>
      <c r="S705" s="2"/>
      <c r="T705" s="2"/>
      <c r="U705" s="2"/>
      <c r="V705" s="2"/>
      <c r="W705" s="2"/>
      <c r="X705" s="2"/>
      <c r="Y705" s="2"/>
      <c r="Z705" s="2"/>
      <c r="AA705" s="2" t="s">
        <v>40</v>
      </c>
      <c r="AB705" s="2" t="s">
        <v>150</v>
      </c>
      <c r="AC705" s="2"/>
      <c r="AD705" s="2"/>
      <c r="AE705" s="2"/>
    </row>
    <row r="706" ht="15.75" customHeight="1">
      <c r="A706" s="2">
        <v>706.0</v>
      </c>
      <c r="B706" s="2" t="s">
        <v>2249</v>
      </c>
      <c r="C706" s="2" t="s">
        <v>77</v>
      </c>
      <c r="D706" s="2" t="s">
        <v>33</v>
      </c>
      <c r="E706" s="2" t="s">
        <v>64</v>
      </c>
      <c r="F706" s="3" t="s">
        <v>35</v>
      </c>
      <c r="G706" s="2"/>
      <c r="H706" s="2" t="s">
        <v>64</v>
      </c>
      <c r="I706" s="2" t="s">
        <v>36</v>
      </c>
      <c r="J706" s="2" t="s">
        <v>2250</v>
      </c>
      <c r="K706" s="4" t="str">
        <f>HYPERLINK("https://openlibrary.org/works/OL1099280W","Abrir enlace")</f>
        <v>Abrir enlace</v>
      </c>
      <c r="L706" s="2" t="s">
        <v>2245</v>
      </c>
      <c r="M706" s="2"/>
      <c r="N706" s="2" t="s">
        <v>45</v>
      </c>
      <c r="O706" s="2"/>
      <c r="P706" s="4" t="str">
        <f>HYPERLINK("https://openlibrary.org/works/OL1099280W","Abrir enlace")</f>
        <v>Abrir enlace</v>
      </c>
      <c r="Q706" s="2"/>
      <c r="R706" s="2"/>
      <c r="S706" s="2"/>
      <c r="T706" s="2"/>
      <c r="U706" s="2"/>
      <c r="V706" s="2"/>
      <c r="W706" s="2"/>
      <c r="X706" s="2"/>
      <c r="Y706" s="2"/>
      <c r="Z706" s="2"/>
      <c r="AA706" s="2" t="s">
        <v>40</v>
      </c>
      <c r="AB706" s="2" t="s">
        <v>150</v>
      </c>
      <c r="AC706" s="2"/>
      <c r="AD706" s="2"/>
      <c r="AE706" s="2"/>
    </row>
    <row r="707" ht="15.75" customHeight="1">
      <c r="A707" s="2">
        <v>707.0</v>
      </c>
      <c r="B707" s="2" t="s">
        <v>2251</v>
      </c>
      <c r="C707" s="2" t="s">
        <v>77</v>
      </c>
      <c r="D707" s="2" t="s">
        <v>33</v>
      </c>
      <c r="E707" s="2" t="s">
        <v>64</v>
      </c>
      <c r="F707" s="3" t="s">
        <v>35</v>
      </c>
      <c r="G707" s="2"/>
      <c r="H707" s="2" t="s">
        <v>64</v>
      </c>
      <c r="I707" s="2" t="s">
        <v>36</v>
      </c>
      <c r="J707" s="2" t="s">
        <v>78</v>
      </c>
      <c r="K707" s="2"/>
      <c r="L707" s="2"/>
      <c r="M707" s="2"/>
      <c r="N707" s="2"/>
      <c r="O707" s="2"/>
      <c r="P707" s="2"/>
      <c r="Q707" s="2"/>
      <c r="R707" s="2"/>
      <c r="S707" s="2"/>
      <c r="T707" s="2"/>
      <c r="U707" s="2"/>
      <c r="V707" s="2"/>
      <c r="W707" s="2"/>
      <c r="X707" s="2"/>
      <c r="Y707" s="2"/>
      <c r="Z707" s="2"/>
      <c r="AA707" s="2" t="s">
        <v>40</v>
      </c>
      <c r="AB707" s="2" t="s">
        <v>80</v>
      </c>
      <c r="AC707" s="2"/>
      <c r="AD707" s="2"/>
      <c r="AE707" s="2"/>
    </row>
    <row r="708" ht="15.75" customHeight="1">
      <c r="A708" s="2">
        <v>708.0</v>
      </c>
      <c r="B708" s="2" t="s">
        <v>2252</v>
      </c>
      <c r="C708" s="2" t="s">
        <v>77</v>
      </c>
      <c r="D708" s="2" t="s">
        <v>33</v>
      </c>
      <c r="E708" s="2" t="s">
        <v>64</v>
      </c>
      <c r="F708" s="3" t="s">
        <v>35</v>
      </c>
      <c r="G708" s="2"/>
      <c r="H708" s="2" t="s">
        <v>64</v>
      </c>
      <c r="I708" s="2" t="s">
        <v>36</v>
      </c>
      <c r="J708" s="2" t="s">
        <v>78</v>
      </c>
      <c r="K708" s="2"/>
      <c r="L708" s="2"/>
      <c r="M708" s="2"/>
      <c r="N708" s="2"/>
      <c r="O708" s="2"/>
      <c r="P708" s="2"/>
      <c r="Q708" s="2"/>
      <c r="R708" s="2"/>
      <c r="S708" s="2"/>
      <c r="T708" s="2"/>
      <c r="U708" s="2"/>
      <c r="V708" s="2"/>
      <c r="W708" s="2"/>
      <c r="X708" s="2"/>
      <c r="Y708" s="2"/>
      <c r="Z708" s="2"/>
      <c r="AA708" s="2" t="s">
        <v>40</v>
      </c>
      <c r="AB708" s="2" t="s">
        <v>80</v>
      </c>
      <c r="AC708" s="2"/>
      <c r="AD708" s="2"/>
      <c r="AE708" s="2"/>
    </row>
    <row r="709" ht="15.75" customHeight="1">
      <c r="A709" s="2">
        <v>709.0</v>
      </c>
      <c r="B709" s="2" t="s">
        <v>2253</v>
      </c>
      <c r="C709" s="2" t="s">
        <v>77</v>
      </c>
      <c r="D709" s="2" t="s">
        <v>33</v>
      </c>
      <c r="E709" s="2" t="s">
        <v>64</v>
      </c>
      <c r="F709" s="3" t="s">
        <v>35</v>
      </c>
      <c r="G709" s="2"/>
      <c r="H709" s="2" t="s">
        <v>64</v>
      </c>
      <c r="I709" s="2" t="s">
        <v>36</v>
      </c>
      <c r="J709" s="2" t="s">
        <v>78</v>
      </c>
      <c r="K709" s="2"/>
      <c r="L709" s="2"/>
      <c r="M709" s="2"/>
      <c r="N709" s="2"/>
      <c r="O709" s="2"/>
      <c r="P709" s="2"/>
      <c r="Q709" s="2"/>
      <c r="R709" s="2"/>
      <c r="S709" s="2"/>
      <c r="T709" s="2"/>
      <c r="U709" s="2"/>
      <c r="V709" s="2"/>
      <c r="W709" s="2"/>
      <c r="X709" s="2"/>
      <c r="Y709" s="2"/>
      <c r="Z709" s="2"/>
      <c r="AA709" s="2" t="s">
        <v>40</v>
      </c>
      <c r="AB709" s="2" t="s">
        <v>80</v>
      </c>
      <c r="AC709" s="2"/>
      <c r="AD709" s="2"/>
      <c r="AE709" s="2"/>
    </row>
    <row r="710" ht="15.75" customHeight="1">
      <c r="A710" s="2">
        <v>710.0</v>
      </c>
      <c r="B710" s="2" t="s">
        <v>2254</v>
      </c>
      <c r="C710" s="2" t="s">
        <v>77</v>
      </c>
      <c r="D710" s="2" t="s">
        <v>33</v>
      </c>
      <c r="E710" s="2" t="s">
        <v>64</v>
      </c>
      <c r="F710" s="3" t="s">
        <v>35</v>
      </c>
      <c r="G710" s="2"/>
      <c r="H710" s="2" t="s">
        <v>64</v>
      </c>
      <c r="I710" s="2" t="s">
        <v>36</v>
      </c>
      <c r="J710" s="2" t="s">
        <v>2255</v>
      </c>
      <c r="K710" s="4" t="str">
        <f>HYPERLINK("https://openlibrary.org/works/OL26131W","Abrir enlace")</f>
        <v>Abrir enlace</v>
      </c>
      <c r="L710" s="2" t="s">
        <v>2256</v>
      </c>
      <c r="M710" s="2"/>
      <c r="N710" s="2" t="s">
        <v>45</v>
      </c>
      <c r="O710" s="2"/>
      <c r="P710" s="4" t="str">
        <f>HYPERLINK("https://openlibrary.org/works/OL26131W","Abrir enlace")</f>
        <v>Abrir enlace</v>
      </c>
      <c r="Q710" s="2"/>
      <c r="R710" s="2"/>
      <c r="S710" s="2"/>
      <c r="T710" s="2"/>
      <c r="U710" s="2"/>
      <c r="V710" s="2"/>
      <c r="W710" s="2"/>
      <c r="X710" s="2"/>
      <c r="Y710" s="2"/>
      <c r="Z710" s="2"/>
      <c r="AA710" s="2" t="s">
        <v>40</v>
      </c>
      <c r="AB710" s="2" t="s">
        <v>150</v>
      </c>
      <c r="AC710" s="2"/>
      <c r="AD710" s="2"/>
      <c r="AE710" s="2"/>
    </row>
    <row r="711" ht="15.75" customHeight="1">
      <c r="A711" s="2">
        <v>711.0</v>
      </c>
      <c r="B711" s="2" t="s">
        <v>2257</v>
      </c>
      <c r="C711" s="2" t="s">
        <v>77</v>
      </c>
      <c r="D711" s="2" t="s">
        <v>33</v>
      </c>
      <c r="E711" s="2" t="s">
        <v>64</v>
      </c>
      <c r="F711" s="3" t="s">
        <v>35</v>
      </c>
      <c r="G711" s="2"/>
      <c r="H711" s="2" t="s">
        <v>64</v>
      </c>
      <c r="I711" s="2" t="s">
        <v>36</v>
      </c>
      <c r="J711" s="2" t="s">
        <v>2258</v>
      </c>
      <c r="K711" s="4" t="str">
        <f>HYPERLINK("https://openlibrary.org/works/OL37675991W","Abrir enlace")</f>
        <v>Abrir enlace</v>
      </c>
      <c r="L711" s="2" t="s">
        <v>2228</v>
      </c>
      <c r="M711" s="2"/>
      <c r="N711" s="2" t="s">
        <v>45</v>
      </c>
      <c r="O711" s="2"/>
      <c r="P711" s="4" t="str">
        <f>HYPERLINK("https://openlibrary.org/works/OL37675991W","Abrir enlace")</f>
        <v>Abrir enlace</v>
      </c>
      <c r="Q711" s="2"/>
      <c r="R711" s="2"/>
      <c r="S711" s="2"/>
      <c r="T711" s="2"/>
      <c r="U711" s="2"/>
      <c r="V711" s="2"/>
      <c r="W711" s="2"/>
      <c r="X711" s="2"/>
      <c r="Y711" s="2"/>
      <c r="Z711" s="2"/>
      <c r="AA711" s="2" t="s">
        <v>40</v>
      </c>
      <c r="AB711" s="2" t="s">
        <v>150</v>
      </c>
      <c r="AC711" s="2"/>
      <c r="AD711" s="2"/>
      <c r="AE711" s="2"/>
    </row>
    <row r="712" ht="15.75" customHeight="1">
      <c r="A712" s="2">
        <v>712.0</v>
      </c>
      <c r="B712" s="2" t="s">
        <v>2259</v>
      </c>
      <c r="C712" s="2" t="s">
        <v>77</v>
      </c>
      <c r="D712" s="2" t="s">
        <v>33</v>
      </c>
      <c r="E712" s="2" t="s">
        <v>64</v>
      </c>
      <c r="F712" s="3" t="s">
        <v>35</v>
      </c>
      <c r="G712" s="2"/>
      <c r="H712" s="2" t="s">
        <v>64</v>
      </c>
      <c r="I712" s="2" t="s">
        <v>36</v>
      </c>
      <c r="J712" s="2" t="s">
        <v>78</v>
      </c>
      <c r="K712" s="2"/>
      <c r="L712" s="2"/>
      <c r="M712" s="2"/>
      <c r="N712" s="2"/>
      <c r="O712" s="2"/>
      <c r="P712" s="2"/>
      <c r="Q712" s="2"/>
      <c r="R712" s="2"/>
      <c r="S712" s="2"/>
      <c r="T712" s="2"/>
      <c r="U712" s="2"/>
      <c r="V712" s="2"/>
      <c r="W712" s="2"/>
      <c r="X712" s="2"/>
      <c r="Y712" s="2"/>
      <c r="Z712" s="2"/>
      <c r="AA712" s="2" t="s">
        <v>40</v>
      </c>
      <c r="AB712" s="2" t="s">
        <v>80</v>
      </c>
      <c r="AC712" s="2"/>
      <c r="AD712" s="2"/>
      <c r="AE712" s="2"/>
    </row>
    <row r="713" ht="15.75" customHeight="1">
      <c r="A713" s="2">
        <v>713.0</v>
      </c>
      <c r="B713" s="2" t="s">
        <v>2260</v>
      </c>
      <c r="C713" s="2" t="s">
        <v>77</v>
      </c>
      <c r="D713" s="2" t="s">
        <v>33</v>
      </c>
      <c r="E713" s="2" t="s">
        <v>64</v>
      </c>
      <c r="F713" s="3" t="s">
        <v>35</v>
      </c>
      <c r="G713" s="2"/>
      <c r="H713" s="2" t="s">
        <v>64</v>
      </c>
      <c r="I713" s="2" t="s">
        <v>36</v>
      </c>
      <c r="J713" s="2" t="s">
        <v>2261</v>
      </c>
      <c r="K713" s="4" t="str">
        <f>HYPERLINK("https://openlibrary.org/works/OL1099280W","Abrir enlace")</f>
        <v>Abrir enlace</v>
      </c>
      <c r="L713" s="2" t="s">
        <v>2245</v>
      </c>
      <c r="M713" s="2"/>
      <c r="N713" s="2" t="s">
        <v>45</v>
      </c>
      <c r="O713" s="2"/>
      <c r="P713" s="4" t="str">
        <f>HYPERLINK("https://openlibrary.org/works/OL1099280W","Abrir enlace")</f>
        <v>Abrir enlace</v>
      </c>
      <c r="Q713" s="2"/>
      <c r="R713" s="2"/>
      <c r="S713" s="2"/>
      <c r="T713" s="2"/>
      <c r="U713" s="2"/>
      <c r="V713" s="2"/>
      <c r="W713" s="2"/>
      <c r="X713" s="2"/>
      <c r="Y713" s="2"/>
      <c r="Z713" s="2"/>
      <c r="AA713" s="2" t="s">
        <v>40</v>
      </c>
      <c r="AB713" s="2" t="s">
        <v>150</v>
      </c>
      <c r="AC713" s="2"/>
      <c r="AD713" s="2"/>
      <c r="AE713" s="2"/>
    </row>
    <row r="714" ht="15.75" customHeight="1">
      <c r="A714" s="2">
        <v>714.0</v>
      </c>
      <c r="B714" s="2" t="s">
        <v>2262</v>
      </c>
      <c r="C714" s="2" t="s">
        <v>77</v>
      </c>
      <c r="D714" s="2" t="s">
        <v>33</v>
      </c>
      <c r="E714" s="2" t="s">
        <v>64</v>
      </c>
      <c r="F714" s="3" t="s">
        <v>35</v>
      </c>
      <c r="G714" s="2"/>
      <c r="H714" s="2" t="s">
        <v>64</v>
      </c>
      <c r="I714" s="2" t="s">
        <v>36</v>
      </c>
      <c r="J714" s="2" t="s">
        <v>78</v>
      </c>
      <c r="K714" s="4" t="str">
        <f>HYPERLINK("https://openlibrary.org/works/OL37675991W","Abrir enlace")</f>
        <v>Abrir enlace</v>
      </c>
      <c r="L714" s="2" t="s">
        <v>2228</v>
      </c>
      <c r="M714" s="2"/>
      <c r="N714" s="2" t="s">
        <v>45</v>
      </c>
      <c r="O714" s="2"/>
      <c r="P714" s="4" t="str">
        <f>HYPERLINK("https://openlibrary.org/works/OL37675991W","Abrir enlace")</f>
        <v>Abrir enlace</v>
      </c>
      <c r="Q714" s="2"/>
      <c r="R714" s="2"/>
      <c r="S714" s="2"/>
      <c r="T714" s="2"/>
      <c r="U714" s="2"/>
      <c r="V714" s="2"/>
      <c r="W714" s="2"/>
      <c r="X714" s="2"/>
      <c r="Y714" s="2"/>
      <c r="Z714" s="2"/>
      <c r="AA714" s="2" t="s">
        <v>40</v>
      </c>
      <c r="AB714" s="2" t="s">
        <v>80</v>
      </c>
      <c r="AC714" s="2"/>
      <c r="AD714" s="2"/>
      <c r="AE714" s="2"/>
    </row>
    <row r="715" ht="15.75" customHeight="1">
      <c r="A715" s="2">
        <v>715.0</v>
      </c>
      <c r="B715" s="2" t="s">
        <v>2263</v>
      </c>
      <c r="C715" s="2" t="s">
        <v>77</v>
      </c>
      <c r="D715" s="2" t="s">
        <v>33</v>
      </c>
      <c r="E715" s="2" t="s">
        <v>64</v>
      </c>
      <c r="F715" s="3" t="s">
        <v>35</v>
      </c>
      <c r="G715" s="2"/>
      <c r="H715" s="2" t="s">
        <v>64</v>
      </c>
      <c r="I715" s="2" t="s">
        <v>36</v>
      </c>
      <c r="J715" s="2" t="s">
        <v>78</v>
      </c>
      <c r="K715" s="4" t="str">
        <f>HYPERLINK("https://openlibrary.org/works/OL19875689W","Abrir enlace")</f>
        <v>Abrir enlace</v>
      </c>
      <c r="L715" s="2" t="s">
        <v>2264</v>
      </c>
      <c r="M715" s="2"/>
      <c r="N715" s="2" t="s">
        <v>45</v>
      </c>
      <c r="O715" s="2"/>
      <c r="P715" s="4" t="str">
        <f>HYPERLINK("https://openlibrary.org/works/OL19875689W","Abrir enlace")</f>
        <v>Abrir enlace</v>
      </c>
      <c r="Q715" s="2"/>
      <c r="R715" s="2"/>
      <c r="S715" s="2"/>
      <c r="T715" s="2"/>
      <c r="U715" s="2"/>
      <c r="V715" s="2"/>
      <c r="W715" s="2"/>
      <c r="X715" s="2"/>
      <c r="Y715" s="2"/>
      <c r="Z715" s="2"/>
      <c r="AA715" s="2" t="s">
        <v>40</v>
      </c>
      <c r="AB715" s="2" t="s">
        <v>80</v>
      </c>
      <c r="AC715" s="2"/>
      <c r="AD715" s="2"/>
      <c r="AE715" s="2"/>
    </row>
    <row r="716" ht="15.75" customHeight="1">
      <c r="A716" s="2">
        <v>716.0</v>
      </c>
      <c r="B716" s="2" t="s">
        <v>2265</v>
      </c>
      <c r="C716" s="2" t="s">
        <v>77</v>
      </c>
      <c r="D716" s="2" t="s">
        <v>33</v>
      </c>
      <c r="E716" s="2" t="s">
        <v>34</v>
      </c>
      <c r="F716" s="3" t="s">
        <v>35</v>
      </c>
      <c r="G716" s="2"/>
      <c r="H716" s="2" t="s">
        <v>34</v>
      </c>
      <c r="I716" s="2" t="s">
        <v>36</v>
      </c>
      <c r="J716" s="2" t="s">
        <v>37</v>
      </c>
      <c r="K716" s="2"/>
      <c r="L716" s="2"/>
      <c r="M716" s="2"/>
      <c r="N716" s="2"/>
      <c r="O716" s="2"/>
      <c r="P716" s="2"/>
      <c r="Q716" s="2"/>
      <c r="R716" s="2"/>
      <c r="S716" s="2"/>
      <c r="T716" s="2"/>
      <c r="U716" s="2"/>
      <c r="V716" s="2"/>
      <c r="W716" s="2"/>
      <c r="X716" s="2"/>
      <c r="Y716" s="2"/>
      <c r="Z716" s="2"/>
      <c r="AA716" s="2" t="s">
        <v>40</v>
      </c>
      <c r="AB716" s="2" t="s">
        <v>41</v>
      </c>
      <c r="AC716" s="2"/>
      <c r="AD716" s="2"/>
      <c r="AE716" s="2"/>
    </row>
    <row r="717" ht="15.75" customHeight="1">
      <c r="A717" s="2">
        <v>717.0</v>
      </c>
      <c r="B717" s="2" t="s">
        <v>2265</v>
      </c>
      <c r="C717" s="2" t="s">
        <v>77</v>
      </c>
      <c r="D717" s="2" t="s">
        <v>33</v>
      </c>
      <c r="E717" s="2" t="s">
        <v>34</v>
      </c>
      <c r="F717" s="3" t="s">
        <v>35</v>
      </c>
      <c r="G717" s="2"/>
      <c r="H717" s="2" t="s">
        <v>34</v>
      </c>
      <c r="I717" s="2" t="s">
        <v>36</v>
      </c>
      <c r="J717" s="2" t="s">
        <v>37</v>
      </c>
      <c r="K717" s="2"/>
      <c r="L717" s="2"/>
      <c r="M717" s="2"/>
      <c r="N717" s="2"/>
      <c r="O717" s="2"/>
      <c r="P717" s="2"/>
      <c r="Q717" s="2"/>
      <c r="R717" s="2"/>
      <c r="S717" s="2"/>
      <c r="T717" s="2"/>
      <c r="U717" s="2"/>
      <c r="V717" s="2"/>
      <c r="W717" s="2"/>
      <c r="X717" s="2"/>
      <c r="Y717" s="2"/>
      <c r="Z717" s="2"/>
      <c r="AA717" s="2" t="s">
        <v>40</v>
      </c>
      <c r="AB717" s="2" t="s">
        <v>41</v>
      </c>
      <c r="AC717" s="2"/>
      <c r="AD717" s="2"/>
      <c r="AE717" s="2"/>
    </row>
    <row r="718" ht="15.75" customHeight="1">
      <c r="A718" s="2">
        <v>718.0</v>
      </c>
      <c r="B718" s="2" t="s">
        <v>2265</v>
      </c>
      <c r="C718" s="2" t="s">
        <v>77</v>
      </c>
      <c r="D718" s="2" t="s">
        <v>33</v>
      </c>
      <c r="E718" s="2" t="s">
        <v>34</v>
      </c>
      <c r="F718" s="3" t="s">
        <v>35</v>
      </c>
      <c r="G718" s="2"/>
      <c r="H718" s="2" t="s">
        <v>34</v>
      </c>
      <c r="I718" s="2" t="s">
        <v>36</v>
      </c>
      <c r="J718" s="2" t="s">
        <v>37</v>
      </c>
      <c r="K718" s="2"/>
      <c r="L718" s="2"/>
      <c r="M718" s="2"/>
      <c r="N718" s="2"/>
      <c r="O718" s="2"/>
      <c r="P718" s="2"/>
      <c r="Q718" s="2"/>
      <c r="R718" s="2"/>
      <c r="S718" s="2"/>
      <c r="T718" s="2"/>
      <c r="U718" s="2"/>
      <c r="V718" s="2"/>
      <c r="W718" s="2"/>
      <c r="X718" s="2"/>
      <c r="Y718" s="2"/>
      <c r="Z718" s="2"/>
      <c r="AA718" s="2" t="s">
        <v>40</v>
      </c>
      <c r="AB718" s="2" t="s">
        <v>41</v>
      </c>
      <c r="AC718" s="2"/>
      <c r="AD718" s="2"/>
      <c r="AE718" s="2"/>
    </row>
    <row r="719" ht="15.75" customHeight="1">
      <c r="A719" s="2">
        <v>719.0</v>
      </c>
      <c r="B719" s="2" t="s">
        <v>2266</v>
      </c>
      <c r="C719" s="2" t="s">
        <v>77</v>
      </c>
      <c r="D719" s="2" t="s">
        <v>33</v>
      </c>
      <c r="E719" s="2" t="s">
        <v>64</v>
      </c>
      <c r="F719" s="3" t="s">
        <v>35</v>
      </c>
      <c r="G719" s="2"/>
      <c r="H719" s="2" t="s">
        <v>64</v>
      </c>
      <c r="I719" s="2" t="s">
        <v>168</v>
      </c>
      <c r="J719" s="2" t="s">
        <v>2267</v>
      </c>
      <c r="K719" s="4" t="str">
        <f t="shared" ref="K719:K720" si="93">HYPERLINK("https://openlibrary.org/works/OL37675991W","Abrir enlace")</f>
        <v>Abrir enlace</v>
      </c>
      <c r="L719" s="2" t="s">
        <v>2228</v>
      </c>
      <c r="M719" s="2"/>
      <c r="N719" s="2" t="s">
        <v>45</v>
      </c>
      <c r="O719" s="2"/>
      <c r="P719" s="4" t="str">
        <f t="shared" ref="P719:P720" si="94">HYPERLINK("https://openlibrary.org/works/OL37675991W","Abrir enlace")</f>
        <v>Abrir enlace</v>
      </c>
      <c r="Q719" s="2"/>
      <c r="R719" s="2"/>
      <c r="S719" s="2"/>
      <c r="T719" s="2"/>
      <c r="U719" s="2"/>
      <c r="V719" s="2"/>
      <c r="W719" s="2"/>
      <c r="X719" s="2"/>
      <c r="Y719" s="2"/>
      <c r="Z719" s="2"/>
      <c r="AA719" s="2" t="s">
        <v>40</v>
      </c>
      <c r="AB719" s="2" t="s">
        <v>2268</v>
      </c>
      <c r="AC719" s="2"/>
      <c r="AD719" s="2"/>
      <c r="AE719" s="2"/>
    </row>
    <row r="720" ht="15.75" customHeight="1">
      <c r="A720" s="2">
        <v>720.0</v>
      </c>
      <c r="B720" s="2" t="s">
        <v>2266</v>
      </c>
      <c r="C720" s="2" t="s">
        <v>77</v>
      </c>
      <c r="D720" s="2" t="s">
        <v>33</v>
      </c>
      <c r="E720" s="2" t="s">
        <v>64</v>
      </c>
      <c r="F720" s="3" t="s">
        <v>35</v>
      </c>
      <c r="G720" s="2"/>
      <c r="H720" s="2" t="s">
        <v>64</v>
      </c>
      <c r="I720" s="2" t="s">
        <v>36</v>
      </c>
      <c r="J720" s="2" t="s">
        <v>78</v>
      </c>
      <c r="K720" s="4" t="str">
        <f t="shared" si="93"/>
        <v>Abrir enlace</v>
      </c>
      <c r="L720" s="2" t="s">
        <v>2228</v>
      </c>
      <c r="M720" s="2"/>
      <c r="N720" s="2" t="s">
        <v>45</v>
      </c>
      <c r="O720" s="2"/>
      <c r="P720" s="4" t="str">
        <f t="shared" si="94"/>
        <v>Abrir enlace</v>
      </c>
      <c r="Q720" s="2"/>
      <c r="R720" s="2"/>
      <c r="S720" s="2"/>
      <c r="T720" s="2"/>
      <c r="U720" s="2"/>
      <c r="V720" s="2"/>
      <c r="W720" s="2"/>
      <c r="X720" s="2"/>
      <c r="Y720" s="2"/>
      <c r="Z720" s="2"/>
      <c r="AA720" s="2" t="s">
        <v>40</v>
      </c>
      <c r="AB720" s="2" t="s">
        <v>80</v>
      </c>
      <c r="AC720" s="2"/>
      <c r="AD720" s="2"/>
      <c r="AE720" s="2"/>
    </row>
    <row r="721" ht="15.75" customHeight="1">
      <c r="A721" s="2">
        <v>721.0</v>
      </c>
      <c r="B721" s="2" t="s">
        <v>2269</v>
      </c>
      <c r="C721" s="2"/>
      <c r="D721" s="2" t="s">
        <v>49</v>
      </c>
      <c r="E721" s="2" t="s">
        <v>64</v>
      </c>
      <c r="F721" s="2" t="s">
        <v>35</v>
      </c>
      <c r="G721" s="2"/>
      <c r="H721" s="2" t="s">
        <v>64</v>
      </c>
      <c r="I721" s="2" t="s">
        <v>168</v>
      </c>
      <c r="J721" s="2" t="s">
        <v>2270</v>
      </c>
      <c r="K721" s="4" t="str">
        <f>HYPERLINK("https://openlibrary.org/works/OL5797514W","Abrir enlace")</f>
        <v>Abrir enlace</v>
      </c>
      <c r="L721" s="2" t="s">
        <v>2271</v>
      </c>
      <c r="M721" s="2" t="s">
        <v>2272</v>
      </c>
      <c r="N721" s="2" t="s">
        <v>45</v>
      </c>
      <c r="O721" s="2" t="s">
        <v>1221</v>
      </c>
      <c r="P721" s="4" t="str">
        <f>HYPERLINK("https://openlibrary.org/works/OL5797514W","Abrir enlace")</f>
        <v>Abrir enlace</v>
      </c>
      <c r="Q721" s="2" t="s">
        <v>2273</v>
      </c>
      <c r="R721" s="2" t="s">
        <v>2274</v>
      </c>
      <c r="S721" s="2" t="s">
        <v>54</v>
      </c>
      <c r="T721" s="2" t="s">
        <v>2275</v>
      </c>
      <c r="U721" s="4" t="str">
        <f>HYPERLINK("https://archive.org/details/scena-critica","Abrir enlace")</f>
        <v>Abrir enlace</v>
      </c>
      <c r="V721" s="2" t="s">
        <v>2276</v>
      </c>
      <c r="W721" s="2" t="s">
        <v>2277</v>
      </c>
      <c r="X721" s="2" t="s">
        <v>54</v>
      </c>
      <c r="Y721" s="2" t="s">
        <v>2278</v>
      </c>
      <c r="Z721" s="4" t="str">
        <f>HYPERLINK("https://archive.org/details/bwb_P9-BIO-975","Abrir enlace")</f>
        <v>Abrir enlace</v>
      </c>
      <c r="AA721" s="2"/>
      <c r="AB721" s="2"/>
      <c r="AC721" s="2"/>
      <c r="AD721" s="2"/>
      <c r="AE721" s="2"/>
    </row>
    <row r="722" ht="15.75" customHeight="1">
      <c r="A722" s="2">
        <v>722.0</v>
      </c>
      <c r="B722" s="2" t="s">
        <v>2279</v>
      </c>
      <c r="C722" s="2" t="s">
        <v>2280</v>
      </c>
      <c r="D722" s="2" t="s">
        <v>33</v>
      </c>
      <c r="E722" s="2" t="s">
        <v>112</v>
      </c>
      <c r="F722" s="3" t="s">
        <v>35</v>
      </c>
      <c r="G722" s="2"/>
      <c r="H722" s="2" t="s">
        <v>112</v>
      </c>
      <c r="I722" s="2" t="s">
        <v>36</v>
      </c>
      <c r="J722" s="2" t="s">
        <v>37</v>
      </c>
      <c r="K722" s="4" t="str">
        <f t="shared" ref="K722:K730" si="95">HYPERLINK("https://openlibrary.org/works/OL27773689W","Abrir enlace")</f>
        <v>Abrir enlace</v>
      </c>
      <c r="L722" s="2" t="s">
        <v>2279</v>
      </c>
      <c r="M722" s="2"/>
      <c r="N722" s="2" t="s">
        <v>45</v>
      </c>
      <c r="O722" s="2"/>
      <c r="P722" s="4" t="str">
        <f t="shared" ref="P722:P730" si="96">HYPERLINK("https://openlibrary.org/works/OL27773689W","Abrir enlace")</f>
        <v>Abrir enlace</v>
      </c>
      <c r="Q722" s="2"/>
      <c r="R722" s="2"/>
      <c r="S722" s="2"/>
      <c r="T722" s="2"/>
      <c r="U722" s="2"/>
      <c r="V722" s="2"/>
      <c r="W722" s="2"/>
      <c r="X722" s="2"/>
      <c r="Y722" s="2"/>
      <c r="Z722" s="2"/>
      <c r="AA722" s="2" t="s">
        <v>51</v>
      </c>
      <c r="AB722" s="2" t="s">
        <v>114</v>
      </c>
      <c r="AC722" s="2"/>
      <c r="AD722" s="2"/>
      <c r="AE722" s="2"/>
    </row>
    <row r="723" ht="15.75" customHeight="1">
      <c r="A723" s="2">
        <v>723.0</v>
      </c>
      <c r="B723" s="2" t="s">
        <v>2279</v>
      </c>
      <c r="C723" s="2" t="s">
        <v>2280</v>
      </c>
      <c r="D723" s="2" t="s">
        <v>33</v>
      </c>
      <c r="E723" s="2" t="s">
        <v>112</v>
      </c>
      <c r="F723" s="3" t="s">
        <v>35</v>
      </c>
      <c r="G723" s="2"/>
      <c r="H723" s="2" t="s">
        <v>112</v>
      </c>
      <c r="I723" s="2" t="s">
        <v>36</v>
      </c>
      <c r="J723" s="2" t="s">
        <v>37</v>
      </c>
      <c r="K723" s="4" t="str">
        <f t="shared" si="95"/>
        <v>Abrir enlace</v>
      </c>
      <c r="L723" s="2" t="s">
        <v>2279</v>
      </c>
      <c r="M723" s="2"/>
      <c r="N723" s="2" t="s">
        <v>45</v>
      </c>
      <c r="O723" s="2"/>
      <c r="P723" s="4" t="str">
        <f t="shared" si="96"/>
        <v>Abrir enlace</v>
      </c>
      <c r="Q723" s="2"/>
      <c r="R723" s="2"/>
      <c r="S723" s="2"/>
      <c r="T723" s="2"/>
      <c r="U723" s="2"/>
      <c r="V723" s="2"/>
      <c r="W723" s="2"/>
      <c r="X723" s="2"/>
      <c r="Y723" s="2"/>
      <c r="Z723" s="2"/>
      <c r="AA723" s="2" t="s">
        <v>51</v>
      </c>
      <c r="AB723" s="2" t="s">
        <v>114</v>
      </c>
      <c r="AC723" s="2"/>
      <c r="AD723" s="2"/>
      <c r="AE723" s="2"/>
    </row>
    <row r="724" ht="15.75" customHeight="1">
      <c r="A724" s="2">
        <v>724.0</v>
      </c>
      <c r="B724" s="2" t="s">
        <v>2279</v>
      </c>
      <c r="C724" s="2" t="s">
        <v>2280</v>
      </c>
      <c r="D724" s="2" t="s">
        <v>33</v>
      </c>
      <c r="E724" s="2" t="s">
        <v>112</v>
      </c>
      <c r="F724" s="3" t="s">
        <v>35</v>
      </c>
      <c r="G724" s="2"/>
      <c r="H724" s="2" t="s">
        <v>112</v>
      </c>
      <c r="I724" s="2" t="s">
        <v>36</v>
      </c>
      <c r="J724" s="2" t="s">
        <v>37</v>
      </c>
      <c r="K724" s="4" t="str">
        <f t="shared" si="95"/>
        <v>Abrir enlace</v>
      </c>
      <c r="L724" s="2" t="s">
        <v>2279</v>
      </c>
      <c r="M724" s="2"/>
      <c r="N724" s="2" t="s">
        <v>45</v>
      </c>
      <c r="O724" s="2"/>
      <c r="P724" s="4" t="str">
        <f t="shared" si="96"/>
        <v>Abrir enlace</v>
      </c>
      <c r="Q724" s="2"/>
      <c r="R724" s="2"/>
      <c r="S724" s="2"/>
      <c r="T724" s="2"/>
      <c r="U724" s="2"/>
      <c r="V724" s="2"/>
      <c r="W724" s="2"/>
      <c r="X724" s="2"/>
      <c r="Y724" s="2"/>
      <c r="Z724" s="2"/>
      <c r="AA724" s="2" t="s">
        <v>51</v>
      </c>
      <c r="AB724" s="2" t="s">
        <v>114</v>
      </c>
      <c r="AC724" s="2"/>
      <c r="AD724" s="2"/>
      <c r="AE724" s="2"/>
    </row>
    <row r="725" ht="15.75" customHeight="1">
      <c r="A725" s="2">
        <v>725.0</v>
      </c>
      <c r="B725" s="2" t="s">
        <v>2279</v>
      </c>
      <c r="C725" s="2" t="s">
        <v>2280</v>
      </c>
      <c r="D725" s="2" t="s">
        <v>33</v>
      </c>
      <c r="E725" s="2" t="s">
        <v>112</v>
      </c>
      <c r="F725" s="3" t="s">
        <v>35</v>
      </c>
      <c r="G725" s="2"/>
      <c r="H725" s="2" t="s">
        <v>112</v>
      </c>
      <c r="I725" s="2" t="s">
        <v>36</v>
      </c>
      <c r="J725" s="2" t="s">
        <v>37</v>
      </c>
      <c r="K725" s="4" t="str">
        <f t="shared" si="95"/>
        <v>Abrir enlace</v>
      </c>
      <c r="L725" s="2" t="s">
        <v>2279</v>
      </c>
      <c r="M725" s="2"/>
      <c r="N725" s="2" t="s">
        <v>45</v>
      </c>
      <c r="O725" s="2"/>
      <c r="P725" s="4" t="str">
        <f t="shared" si="96"/>
        <v>Abrir enlace</v>
      </c>
      <c r="Q725" s="2"/>
      <c r="R725" s="2"/>
      <c r="S725" s="2"/>
      <c r="T725" s="2"/>
      <c r="U725" s="2"/>
      <c r="V725" s="2"/>
      <c r="W725" s="2"/>
      <c r="X725" s="2"/>
      <c r="Y725" s="2"/>
      <c r="Z725" s="2"/>
      <c r="AA725" s="2" t="s">
        <v>51</v>
      </c>
      <c r="AB725" s="2" t="s">
        <v>114</v>
      </c>
      <c r="AC725" s="2"/>
      <c r="AD725" s="2"/>
      <c r="AE725" s="2"/>
    </row>
    <row r="726" ht="15.75" customHeight="1">
      <c r="A726" s="2">
        <v>726.0</v>
      </c>
      <c r="B726" s="2" t="s">
        <v>2279</v>
      </c>
      <c r="C726" s="2" t="s">
        <v>2280</v>
      </c>
      <c r="D726" s="2" t="s">
        <v>33</v>
      </c>
      <c r="E726" s="2" t="s">
        <v>112</v>
      </c>
      <c r="F726" s="3" t="s">
        <v>35</v>
      </c>
      <c r="G726" s="2"/>
      <c r="H726" s="2" t="s">
        <v>112</v>
      </c>
      <c r="I726" s="2" t="s">
        <v>36</v>
      </c>
      <c r="J726" s="2" t="s">
        <v>37</v>
      </c>
      <c r="K726" s="4" t="str">
        <f t="shared" si="95"/>
        <v>Abrir enlace</v>
      </c>
      <c r="L726" s="2" t="s">
        <v>2279</v>
      </c>
      <c r="M726" s="2"/>
      <c r="N726" s="2" t="s">
        <v>45</v>
      </c>
      <c r="O726" s="2"/>
      <c r="P726" s="4" t="str">
        <f t="shared" si="96"/>
        <v>Abrir enlace</v>
      </c>
      <c r="Q726" s="2"/>
      <c r="R726" s="2"/>
      <c r="S726" s="2"/>
      <c r="T726" s="2"/>
      <c r="U726" s="2"/>
      <c r="V726" s="2"/>
      <c r="W726" s="2"/>
      <c r="X726" s="2"/>
      <c r="Y726" s="2"/>
      <c r="Z726" s="2"/>
      <c r="AA726" s="2" t="s">
        <v>51</v>
      </c>
      <c r="AB726" s="2" t="s">
        <v>114</v>
      </c>
      <c r="AC726" s="2"/>
      <c r="AD726" s="2"/>
      <c r="AE726" s="2"/>
    </row>
    <row r="727" ht="15.75" customHeight="1">
      <c r="A727" s="2">
        <v>727.0</v>
      </c>
      <c r="B727" s="2" t="s">
        <v>2279</v>
      </c>
      <c r="C727" s="2" t="s">
        <v>2280</v>
      </c>
      <c r="D727" s="2" t="s">
        <v>33</v>
      </c>
      <c r="E727" s="2" t="s">
        <v>112</v>
      </c>
      <c r="F727" s="3" t="s">
        <v>35</v>
      </c>
      <c r="G727" s="2"/>
      <c r="H727" s="2" t="s">
        <v>112</v>
      </c>
      <c r="I727" s="2" t="s">
        <v>36</v>
      </c>
      <c r="J727" s="2" t="s">
        <v>37</v>
      </c>
      <c r="K727" s="4" t="str">
        <f t="shared" si="95"/>
        <v>Abrir enlace</v>
      </c>
      <c r="L727" s="2" t="s">
        <v>2279</v>
      </c>
      <c r="M727" s="2"/>
      <c r="N727" s="2" t="s">
        <v>45</v>
      </c>
      <c r="O727" s="2"/>
      <c r="P727" s="4" t="str">
        <f t="shared" si="96"/>
        <v>Abrir enlace</v>
      </c>
      <c r="Q727" s="2"/>
      <c r="R727" s="2"/>
      <c r="S727" s="2"/>
      <c r="T727" s="2"/>
      <c r="U727" s="2"/>
      <c r="V727" s="2"/>
      <c r="W727" s="2"/>
      <c r="X727" s="2"/>
      <c r="Y727" s="2"/>
      <c r="Z727" s="2"/>
      <c r="AA727" s="2" t="s">
        <v>51</v>
      </c>
      <c r="AB727" s="2" t="s">
        <v>114</v>
      </c>
      <c r="AC727" s="2"/>
      <c r="AD727" s="2"/>
      <c r="AE727" s="2"/>
    </row>
    <row r="728" ht="15.75" customHeight="1">
      <c r="A728" s="2">
        <v>728.0</v>
      </c>
      <c r="B728" s="2" t="s">
        <v>2279</v>
      </c>
      <c r="C728" s="2" t="s">
        <v>2280</v>
      </c>
      <c r="D728" s="2" t="s">
        <v>33</v>
      </c>
      <c r="E728" s="2" t="s">
        <v>112</v>
      </c>
      <c r="F728" s="3" t="s">
        <v>35</v>
      </c>
      <c r="G728" s="2"/>
      <c r="H728" s="2" t="s">
        <v>112</v>
      </c>
      <c r="I728" s="2" t="s">
        <v>36</v>
      </c>
      <c r="J728" s="2" t="s">
        <v>37</v>
      </c>
      <c r="K728" s="4" t="str">
        <f t="shared" si="95"/>
        <v>Abrir enlace</v>
      </c>
      <c r="L728" s="2" t="s">
        <v>2279</v>
      </c>
      <c r="M728" s="2"/>
      <c r="N728" s="2" t="s">
        <v>45</v>
      </c>
      <c r="O728" s="2"/>
      <c r="P728" s="4" t="str">
        <f t="shared" si="96"/>
        <v>Abrir enlace</v>
      </c>
      <c r="Q728" s="2"/>
      <c r="R728" s="2"/>
      <c r="S728" s="2"/>
      <c r="T728" s="2"/>
      <c r="U728" s="2"/>
      <c r="V728" s="2"/>
      <c r="W728" s="2"/>
      <c r="X728" s="2"/>
      <c r="Y728" s="2"/>
      <c r="Z728" s="2"/>
      <c r="AA728" s="2" t="s">
        <v>51</v>
      </c>
      <c r="AB728" s="2" t="s">
        <v>114</v>
      </c>
      <c r="AC728" s="2"/>
      <c r="AD728" s="2"/>
      <c r="AE728" s="2"/>
    </row>
    <row r="729" ht="15.75" customHeight="1">
      <c r="A729" s="2">
        <v>729.0</v>
      </c>
      <c r="B729" s="2" t="s">
        <v>2279</v>
      </c>
      <c r="C729" s="2" t="s">
        <v>2280</v>
      </c>
      <c r="D729" s="2" t="s">
        <v>33</v>
      </c>
      <c r="E729" s="2" t="s">
        <v>112</v>
      </c>
      <c r="F729" s="3" t="s">
        <v>35</v>
      </c>
      <c r="G729" s="2"/>
      <c r="H729" s="2" t="s">
        <v>112</v>
      </c>
      <c r="I729" s="2" t="s">
        <v>36</v>
      </c>
      <c r="J729" s="2" t="s">
        <v>37</v>
      </c>
      <c r="K729" s="4" t="str">
        <f t="shared" si="95"/>
        <v>Abrir enlace</v>
      </c>
      <c r="L729" s="2" t="s">
        <v>2279</v>
      </c>
      <c r="M729" s="2"/>
      <c r="N729" s="2" t="s">
        <v>45</v>
      </c>
      <c r="O729" s="2"/>
      <c r="P729" s="4" t="str">
        <f t="shared" si="96"/>
        <v>Abrir enlace</v>
      </c>
      <c r="Q729" s="2"/>
      <c r="R729" s="2"/>
      <c r="S729" s="2"/>
      <c r="T729" s="2"/>
      <c r="U729" s="2"/>
      <c r="V729" s="2"/>
      <c r="W729" s="2"/>
      <c r="X729" s="2"/>
      <c r="Y729" s="2"/>
      <c r="Z729" s="2"/>
      <c r="AA729" s="2" t="s">
        <v>51</v>
      </c>
      <c r="AB729" s="2" t="s">
        <v>114</v>
      </c>
      <c r="AC729" s="2"/>
      <c r="AD729" s="2"/>
      <c r="AE729" s="2"/>
    </row>
    <row r="730" ht="15.75" customHeight="1">
      <c r="A730" s="2">
        <v>730.0</v>
      </c>
      <c r="B730" s="2" t="s">
        <v>2279</v>
      </c>
      <c r="C730" s="2" t="s">
        <v>2280</v>
      </c>
      <c r="D730" s="2" t="s">
        <v>33</v>
      </c>
      <c r="E730" s="2" t="s">
        <v>112</v>
      </c>
      <c r="F730" s="3" t="s">
        <v>35</v>
      </c>
      <c r="G730" s="2"/>
      <c r="H730" s="2" t="s">
        <v>112</v>
      </c>
      <c r="I730" s="2" t="s">
        <v>36</v>
      </c>
      <c r="J730" s="2" t="s">
        <v>37</v>
      </c>
      <c r="K730" s="4" t="str">
        <f t="shared" si="95"/>
        <v>Abrir enlace</v>
      </c>
      <c r="L730" s="2" t="s">
        <v>2279</v>
      </c>
      <c r="M730" s="2"/>
      <c r="N730" s="2" t="s">
        <v>45</v>
      </c>
      <c r="O730" s="2"/>
      <c r="P730" s="4" t="str">
        <f t="shared" si="96"/>
        <v>Abrir enlace</v>
      </c>
      <c r="Q730" s="2"/>
      <c r="R730" s="2"/>
      <c r="S730" s="2"/>
      <c r="T730" s="2"/>
      <c r="U730" s="2"/>
      <c r="V730" s="2"/>
      <c r="W730" s="2"/>
      <c r="X730" s="2"/>
      <c r="Y730" s="2"/>
      <c r="Z730" s="2"/>
      <c r="AA730" s="2" t="s">
        <v>51</v>
      </c>
      <c r="AB730" s="2" t="s">
        <v>114</v>
      </c>
      <c r="AC730" s="2"/>
      <c r="AD730" s="2"/>
      <c r="AE730" s="2"/>
    </row>
    <row r="731" ht="15.75" customHeight="1">
      <c r="A731" s="2">
        <v>731.0</v>
      </c>
      <c r="B731" s="2" t="s">
        <v>2281</v>
      </c>
      <c r="C731" s="2" t="s">
        <v>2282</v>
      </c>
      <c r="D731" s="2" t="s">
        <v>33</v>
      </c>
      <c r="E731" s="2" t="s">
        <v>64</v>
      </c>
      <c r="F731" s="3" t="s">
        <v>35</v>
      </c>
      <c r="G731" s="2"/>
      <c r="H731" s="2" t="s">
        <v>64</v>
      </c>
      <c r="I731" s="2" t="s">
        <v>36</v>
      </c>
      <c r="J731" s="2" t="s">
        <v>37</v>
      </c>
      <c r="K731" s="4" t="str">
        <f t="shared" ref="K731:K732" si="97">HYPERLINK("https://openlibrary.org/works/OL24745312W","Abrir enlace")</f>
        <v>Abrir enlace</v>
      </c>
      <c r="L731" s="2" t="s">
        <v>2283</v>
      </c>
      <c r="M731" s="2"/>
      <c r="N731" s="2" t="s">
        <v>45</v>
      </c>
      <c r="O731" s="2"/>
      <c r="P731" s="4" t="str">
        <f t="shared" ref="P731:P732" si="98">HYPERLINK("https://openlibrary.org/works/OL24745312W","Abrir enlace")</f>
        <v>Abrir enlace</v>
      </c>
      <c r="Q731" s="2"/>
      <c r="R731" s="2"/>
      <c r="S731" s="2"/>
      <c r="T731" s="2"/>
      <c r="U731" s="2"/>
      <c r="V731" s="2"/>
      <c r="W731" s="2"/>
      <c r="X731" s="2"/>
      <c r="Y731" s="2"/>
      <c r="Z731" s="2"/>
      <c r="AA731" s="2" t="s">
        <v>40</v>
      </c>
      <c r="AB731" s="2" t="s">
        <v>67</v>
      </c>
      <c r="AC731" s="2"/>
      <c r="AD731" s="2"/>
      <c r="AE731" s="2"/>
    </row>
    <row r="732" ht="15.75" customHeight="1">
      <c r="A732" s="2">
        <v>732.0</v>
      </c>
      <c r="B732" s="2" t="s">
        <v>2281</v>
      </c>
      <c r="C732" s="2" t="s">
        <v>2282</v>
      </c>
      <c r="D732" s="2" t="s">
        <v>33</v>
      </c>
      <c r="E732" s="2" t="s">
        <v>64</v>
      </c>
      <c r="F732" s="3" t="s">
        <v>35</v>
      </c>
      <c r="G732" s="2"/>
      <c r="H732" s="2" t="s">
        <v>64</v>
      </c>
      <c r="I732" s="2" t="s">
        <v>36</v>
      </c>
      <c r="J732" s="2" t="s">
        <v>37</v>
      </c>
      <c r="K732" s="4" t="str">
        <f t="shared" si="97"/>
        <v>Abrir enlace</v>
      </c>
      <c r="L732" s="2" t="s">
        <v>2283</v>
      </c>
      <c r="M732" s="2"/>
      <c r="N732" s="2" t="s">
        <v>45</v>
      </c>
      <c r="O732" s="2"/>
      <c r="P732" s="4" t="str">
        <f t="shared" si="98"/>
        <v>Abrir enlace</v>
      </c>
      <c r="Q732" s="2"/>
      <c r="R732" s="2"/>
      <c r="S732" s="2"/>
      <c r="T732" s="2"/>
      <c r="U732" s="2"/>
      <c r="V732" s="2"/>
      <c r="W732" s="2"/>
      <c r="X732" s="2"/>
      <c r="Y732" s="2"/>
      <c r="Z732" s="2"/>
      <c r="AA732" s="2" t="s">
        <v>40</v>
      </c>
      <c r="AB732" s="2" t="s">
        <v>67</v>
      </c>
      <c r="AC732" s="2"/>
      <c r="AD732" s="2"/>
      <c r="AE732" s="2"/>
    </row>
    <row r="733" ht="15.75" customHeight="1">
      <c r="A733" s="2">
        <v>733.0</v>
      </c>
      <c r="B733" s="2" t="s">
        <v>2284</v>
      </c>
      <c r="C733" s="2" t="s">
        <v>2285</v>
      </c>
      <c r="D733" s="2" t="s">
        <v>99</v>
      </c>
      <c r="E733" s="2" t="s">
        <v>70</v>
      </c>
      <c r="F733" s="2" t="s">
        <v>35</v>
      </c>
      <c r="G733" s="2"/>
      <c r="H733" s="2" t="s">
        <v>70</v>
      </c>
      <c r="I733" s="2" t="s">
        <v>36</v>
      </c>
      <c r="J733" s="2" t="s">
        <v>2286</v>
      </c>
      <c r="K733" s="4" t="str">
        <f>HYPERLINK("https://it.wikipedia.org/wiki/Del_Papa","Abrir enlace")</f>
        <v>Abrir enlace</v>
      </c>
      <c r="L733" s="2" t="s">
        <v>2287</v>
      </c>
      <c r="M733" s="2"/>
      <c r="N733" s="2" t="s">
        <v>91</v>
      </c>
      <c r="O733" s="2" t="s">
        <v>2288</v>
      </c>
      <c r="P733" s="4" t="str">
        <f>HYPERLINK("https://it.wikipedia.org/wiki/Del_Papa","Abrir enlace")</f>
        <v>Abrir enlace</v>
      </c>
      <c r="Q733" s="2" t="s">
        <v>2289</v>
      </c>
      <c r="R733" s="2" t="s">
        <v>2290</v>
      </c>
      <c r="S733" s="2" t="s">
        <v>45</v>
      </c>
      <c r="T733" s="2" t="s">
        <v>1028</v>
      </c>
      <c r="U733" s="4" t="str">
        <f>HYPERLINK("https://openlibrary.org/works/OL24957619W","Abrir enlace")</f>
        <v>Abrir enlace</v>
      </c>
      <c r="V733" s="2" t="s">
        <v>2291</v>
      </c>
      <c r="W733" s="2" t="s">
        <v>2292</v>
      </c>
      <c r="X733" s="2" t="s">
        <v>45</v>
      </c>
      <c r="Y733" s="2" t="s">
        <v>2293</v>
      </c>
      <c r="Z733" s="4" t="str">
        <f>HYPERLINK("https://openlibrary.org/works/OL1709277W","Abrir enlace")</f>
        <v>Abrir enlace</v>
      </c>
      <c r="AA733" s="2"/>
      <c r="AB733" s="2"/>
      <c r="AC733" s="2"/>
      <c r="AD733" s="2"/>
      <c r="AE733" s="2"/>
    </row>
    <row r="734" ht="15.75" customHeight="1">
      <c r="A734" s="2">
        <v>734.0</v>
      </c>
      <c r="B734" s="2" t="s">
        <v>2294</v>
      </c>
      <c r="C734" s="2" t="s">
        <v>2295</v>
      </c>
      <c r="D734" s="2" t="s">
        <v>33</v>
      </c>
      <c r="E734" s="2" t="s">
        <v>34</v>
      </c>
      <c r="F734" s="2" t="s">
        <v>35</v>
      </c>
      <c r="G734" s="2"/>
      <c r="H734" s="2" t="s">
        <v>34</v>
      </c>
      <c r="I734" s="2" t="s">
        <v>36</v>
      </c>
      <c r="J734" s="2" t="s">
        <v>2296</v>
      </c>
      <c r="K734" s="2"/>
      <c r="L734" s="2" t="s">
        <v>2297</v>
      </c>
      <c r="M734" s="2"/>
      <c r="N734" s="2" t="s">
        <v>91</v>
      </c>
      <c r="O734" s="2" t="s">
        <v>2298</v>
      </c>
      <c r="P734" s="2"/>
      <c r="Q734" s="2" t="s">
        <v>2299</v>
      </c>
      <c r="R734" s="2"/>
      <c r="S734" s="2" t="s">
        <v>91</v>
      </c>
      <c r="T734" s="2" t="s">
        <v>2300</v>
      </c>
      <c r="U734" s="2"/>
      <c r="V734" s="2" t="s">
        <v>2301</v>
      </c>
      <c r="W734" s="2"/>
      <c r="X734" s="2" t="s">
        <v>91</v>
      </c>
      <c r="Y734" s="2" t="s">
        <v>2125</v>
      </c>
      <c r="Z734" s="4" t="str">
        <f>HYPERLINK("https://www.bibliotecadigitaldeandalucia.es/catalogo/es/consulta/registro.do?id=8880","Abrir enlace")</f>
        <v>Abrir enlace</v>
      </c>
      <c r="AA734" s="2"/>
      <c r="AB734" s="2"/>
      <c r="AC734" s="2"/>
      <c r="AD734" s="2"/>
      <c r="AE734" s="2"/>
    </row>
    <row r="735" ht="15.75" customHeight="1">
      <c r="A735" s="2">
        <v>735.0</v>
      </c>
      <c r="B735" s="2" t="s">
        <v>2302</v>
      </c>
      <c r="C735" s="2" t="s">
        <v>467</v>
      </c>
      <c r="D735" s="2" t="s">
        <v>33</v>
      </c>
      <c r="E735" s="2" t="s">
        <v>34</v>
      </c>
      <c r="F735" s="3" t="s">
        <v>35</v>
      </c>
      <c r="G735" s="2"/>
      <c r="H735" s="2" t="s">
        <v>34</v>
      </c>
      <c r="I735" s="2" t="s">
        <v>36</v>
      </c>
      <c r="J735" s="2" t="s">
        <v>37</v>
      </c>
      <c r="K735" s="4" t="str">
        <f t="shared" ref="K735:K736" si="99">HYPERLINK("https://archive.org/details/gaume-les-trois-rome-t.-2-1864","Abrir enlace")</f>
        <v>Abrir enlace</v>
      </c>
      <c r="L735" s="2" t="s">
        <v>2303</v>
      </c>
      <c r="M735" s="2"/>
      <c r="N735" s="2" t="s">
        <v>54</v>
      </c>
      <c r="O735" s="2"/>
      <c r="P735" s="4" t="str">
        <f t="shared" ref="P735:P736" si="100">HYPERLINK("https://archive.org/details/gaume-les-trois-rome-t.-2-1864","Abrir enlace")</f>
        <v>Abrir enlace</v>
      </c>
      <c r="Q735" s="2"/>
      <c r="R735" s="2"/>
      <c r="S735" s="2"/>
      <c r="T735" s="2"/>
      <c r="U735" s="2"/>
      <c r="V735" s="2"/>
      <c r="W735" s="2"/>
      <c r="X735" s="2"/>
      <c r="Y735" s="2"/>
      <c r="Z735" s="2"/>
      <c r="AA735" s="2" t="s">
        <v>40</v>
      </c>
      <c r="AB735" s="2" t="s">
        <v>41</v>
      </c>
      <c r="AC735" s="2"/>
      <c r="AD735" s="2"/>
      <c r="AE735" s="2"/>
    </row>
    <row r="736" ht="15.75" customHeight="1">
      <c r="A736" s="2">
        <v>736.0</v>
      </c>
      <c r="B736" s="2" t="s">
        <v>2302</v>
      </c>
      <c r="C736" s="2" t="s">
        <v>467</v>
      </c>
      <c r="D736" s="2" t="s">
        <v>33</v>
      </c>
      <c r="E736" s="2" t="s">
        <v>34</v>
      </c>
      <c r="F736" s="3" t="s">
        <v>35</v>
      </c>
      <c r="G736" s="2"/>
      <c r="H736" s="2" t="s">
        <v>34</v>
      </c>
      <c r="I736" s="2" t="s">
        <v>36</v>
      </c>
      <c r="J736" s="2" t="s">
        <v>37</v>
      </c>
      <c r="K736" s="4" t="str">
        <f t="shared" si="99"/>
        <v>Abrir enlace</v>
      </c>
      <c r="L736" s="2" t="s">
        <v>2303</v>
      </c>
      <c r="M736" s="2"/>
      <c r="N736" s="2" t="s">
        <v>54</v>
      </c>
      <c r="O736" s="2"/>
      <c r="P736" s="4" t="str">
        <f t="shared" si="100"/>
        <v>Abrir enlace</v>
      </c>
      <c r="Q736" s="2"/>
      <c r="R736" s="2"/>
      <c r="S736" s="2"/>
      <c r="T736" s="2"/>
      <c r="U736" s="2"/>
      <c r="V736" s="2"/>
      <c r="W736" s="2"/>
      <c r="X736" s="2"/>
      <c r="Y736" s="2"/>
      <c r="Z736" s="2"/>
      <c r="AA736" s="2" t="s">
        <v>40</v>
      </c>
      <c r="AB736" s="2" t="s">
        <v>41</v>
      </c>
      <c r="AC736" s="2"/>
      <c r="AD736" s="2"/>
      <c r="AE736" s="2"/>
    </row>
    <row r="737" ht="15.75" customHeight="1">
      <c r="A737" s="2">
        <v>737.0</v>
      </c>
      <c r="B737" s="2" t="s">
        <v>2304</v>
      </c>
      <c r="C737" s="2"/>
      <c r="D737" s="2" t="s">
        <v>99</v>
      </c>
      <c r="E737" s="2" t="s">
        <v>34</v>
      </c>
      <c r="F737" s="2" t="s">
        <v>35</v>
      </c>
      <c r="G737" s="2"/>
      <c r="H737" s="2" t="s">
        <v>34</v>
      </c>
      <c r="I737" s="2" t="s">
        <v>36</v>
      </c>
      <c r="J737" s="2" t="s">
        <v>2305</v>
      </c>
      <c r="K737" s="4" t="str">
        <f>HYPERLINK("https://www.beweb.chiesacattolica.it/bucher/buch/174628108/La+storia+dell'anno+1750.+Divisa+in+quattro+libri.+Dove+veggonsi+gli+avvenimenti+principali+del+medesimo+anno,+e+spezialm"&amp;"ente,+la+celebrazione+del+gran+Giubbileo+di+Roma,+...","Abrir enlace")</f>
        <v>Abrir enlace</v>
      </c>
      <c r="L737" s="2" t="s">
        <v>2306</v>
      </c>
      <c r="M737" s="2"/>
      <c r="N737" s="2" t="s">
        <v>91</v>
      </c>
      <c r="O737" s="2" t="s">
        <v>2307</v>
      </c>
      <c r="P737" s="4" t="str">
        <f>HYPERLINK("https://www.beweb.chiesacattolica.it/bucher/buch/174628108/La+storia+dell'anno+1750.+Divisa+in+quattro+libri.+Dove+veggonsi+gli+avvenimenti+principali+del+medesimo+anno,+e+spezialm"&amp;"ente,+la+celebrazione+del+gran+Giubbileo+di+Roma,+...","Abrir enlace")</f>
        <v>Abrir enlace</v>
      </c>
      <c r="Q737" s="2" t="s">
        <v>2308</v>
      </c>
      <c r="R737" s="2"/>
      <c r="S737" s="2" t="s">
        <v>91</v>
      </c>
      <c r="T737" s="2" t="s">
        <v>2309</v>
      </c>
      <c r="U737" s="4" t="str">
        <f>HYPERLINK("https://www.filmtv.it/film/78865/la-storia-dell-amore/","Abrir enlace")</f>
        <v>Abrir enlace</v>
      </c>
      <c r="V737" s="2" t="s">
        <v>2310</v>
      </c>
      <c r="W737" s="2"/>
      <c r="X737" s="2" t="s">
        <v>91</v>
      </c>
      <c r="Y737" s="2" t="s">
        <v>2311</v>
      </c>
      <c r="Z737" s="4" t="str">
        <f>HYPERLINK("https://it.wikipedia.org/wiki/La_storia_dell'amore","Abrir enlace")</f>
        <v>Abrir enlace</v>
      </c>
      <c r="AA737" s="2"/>
      <c r="AB737" s="2"/>
      <c r="AC737" s="2"/>
      <c r="AD737" s="2"/>
      <c r="AE737" s="2"/>
    </row>
    <row r="738" ht="15.75" customHeight="1">
      <c r="A738" s="2">
        <v>738.0</v>
      </c>
      <c r="B738" s="2" t="s">
        <v>2312</v>
      </c>
      <c r="C738" s="2" t="s">
        <v>2313</v>
      </c>
      <c r="D738" s="2" t="s">
        <v>33</v>
      </c>
      <c r="E738" s="2" t="s">
        <v>34</v>
      </c>
      <c r="F738" s="3" t="s">
        <v>35</v>
      </c>
      <c r="G738" s="2"/>
      <c r="H738" s="2" t="s">
        <v>34</v>
      </c>
      <c r="I738" s="2" t="s">
        <v>36</v>
      </c>
      <c r="J738" s="2" t="s">
        <v>37</v>
      </c>
      <c r="K738" s="4" t="str">
        <f>HYPERLINK("https://openlibrary.org/works/OL37673480W","Abrir enlace")</f>
        <v>Abrir enlace</v>
      </c>
      <c r="L738" s="2" t="s">
        <v>2314</v>
      </c>
      <c r="M738" s="2"/>
      <c r="N738" s="2" t="s">
        <v>45</v>
      </c>
      <c r="O738" s="2"/>
      <c r="P738" s="4" t="str">
        <f>HYPERLINK("https://openlibrary.org/works/OL37673480W","Abrir enlace")</f>
        <v>Abrir enlace</v>
      </c>
      <c r="Q738" s="2"/>
      <c r="R738" s="2"/>
      <c r="S738" s="2"/>
      <c r="T738" s="2"/>
      <c r="U738" s="2"/>
      <c r="V738" s="2"/>
      <c r="W738" s="2"/>
      <c r="X738" s="2"/>
      <c r="Y738" s="2"/>
      <c r="Z738" s="2"/>
      <c r="AA738" s="2" t="s">
        <v>51</v>
      </c>
      <c r="AB738" s="2" t="s">
        <v>41</v>
      </c>
      <c r="AC738" s="2"/>
      <c r="AD738" s="2"/>
      <c r="AE738" s="2"/>
    </row>
    <row r="739" ht="15.75" customHeight="1">
      <c r="A739" s="2">
        <v>739.0</v>
      </c>
      <c r="B739" s="2" t="s">
        <v>2315</v>
      </c>
      <c r="C739" s="2" t="s">
        <v>2316</v>
      </c>
      <c r="D739" s="2" t="s">
        <v>49</v>
      </c>
      <c r="E739" s="2" t="s">
        <v>64</v>
      </c>
      <c r="F739" s="3" t="s">
        <v>35</v>
      </c>
      <c r="G739" s="2"/>
      <c r="H739" s="2" t="s">
        <v>64</v>
      </c>
      <c r="I739" s="2" t="s">
        <v>36</v>
      </c>
      <c r="J739" s="2" t="s">
        <v>37</v>
      </c>
      <c r="K739" s="4" t="str">
        <f>HYPERLINK("https://openlibrary.org/works/OL7703727W","Abrir enlace")</f>
        <v>Abrir enlace</v>
      </c>
      <c r="L739" s="2" t="s">
        <v>2317</v>
      </c>
      <c r="M739" s="2"/>
      <c r="N739" s="2" t="s">
        <v>45</v>
      </c>
      <c r="O739" s="2"/>
      <c r="P739" s="4" t="str">
        <f>HYPERLINK("https://openlibrary.org/works/OL7703727W","Abrir enlace")</f>
        <v>Abrir enlace</v>
      </c>
      <c r="Q739" s="2"/>
      <c r="R739" s="2"/>
      <c r="S739" s="2"/>
      <c r="T739" s="2"/>
      <c r="U739" s="2"/>
      <c r="V739" s="2"/>
      <c r="W739" s="2"/>
      <c r="X739" s="2"/>
      <c r="Y739" s="2"/>
      <c r="Z739" s="2"/>
      <c r="AA739" s="2" t="s">
        <v>40</v>
      </c>
      <c r="AB739" s="2" t="s">
        <v>67</v>
      </c>
      <c r="AC739" s="2"/>
      <c r="AD739" s="2"/>
      <c r="AE739" s="2"/>
    </row>
    <row r="740" ht="15.75" customHeight="1">
      <c r="A740" s="2">
        <v>740.0</v>
      </c>
      <c r="B740" s="2" t="s">
        <v>2318</v>
      </c>
      <c r="C740" s="2" t="s">
        <v>2319</v>
      </c>
      <c r="D740" s="2" t="s">
        <v>33</v>
      </c>
      <c r="E740" s="2" t="s">
        <v>64</v>
      </c>
      <c r="F740" s="2" t="s">
        <v>35</v>
      </c>
      <c r="G740" s="2"/>
      <c r="H740" s="2" t="s">
        <v>64</v>
      </c>
      <c r="I740" s="2" t="s">
        <v>36</v>
      </c>
      <c r="J740" s="2" t="s">
        <v>2320</v>
      </c>
      <c r="K740" s="4" t="str">
        <f>HYPERLINK("https://books.google.com/books/about/Hesiodi_carmina.html?id=r8xQAgAACAAJ","Abrir enlace")</f>
        <v>Abrir enlace</v>
      </c>
      <c r="L740" s="2" t="s">
        <v>2321</v>
      </c>
      <c r="M740" s="2"/>
      <c r="N740" s="2" t="s">
        <v>91</v>
      </c>
      <c r="O740" s="2" t="s">
        <v>2322</v>
      </c>
      <c r="P740" s="4" t="str">
        <f>HYPERLINK("https://books.google.com/books/about/Hesiodi_carmina.html?id=r8xQAgAACAAJ","Abrir enlace")</f>
        <v>Abrir enlace</v>
      </c>
      <c r="Q740" s="2" t="s">
        <v>2323</v>
      </c>
      <c r="R740" s="2"/>
      <c r="S740" s="2" t="s">
        <v>91</v>
      </c>
      <c r="T740" s="2" t="s">
        <v>1001</v>
      </c>
      <c r="U740" s="4" t="str">
        <f>HYPERLINK("https://archive.org/details/hesiodicarmina00goetgoog","Abrir enlace")</f>
        <v>Abrir enlace</v>
      </c>
      <c r="V740" s="2" t="s">
        <v>2324</v>
      </c>
      <c r="W740" s="2"/>
      <c r="X740" s="2" t="s">
        <v>91</v>
      </c>
      <c r="Y740" s="2" t="s">
        <v>2325</v>
      </c>
      <c r="Z740" s="4" t="str">
        <f>HYPERLINK("https://www.gutenberg.org/files/53315/53315-h/53315-h.htm","Abrir enlace")</f>
        <v>Abrir enlace</v>
      </c>
      <c r="AA740" s="2"/>
      <c r="AB740" s="2"/>
      <c r="AC740" s="2"/>
      <c r="AD740" s="2"/>
      <c r="AE740" s="2"/>
    </row>
    <row r="741" ht="15.75" customHeight="1">
      <c r="A741" s="2">
        <v>741.0</v>
      </c>
      <c r="B741" s="2" t="s">
        <v>2326</v>
      </c>
      <c r="C741" s="2" t="s">
        <v>2327</v>
      </c>
      <c r="D741" s="2" t="s">
        <v>33</v>
      </c>
      <c r="E741" s="2" t="s">
        <v>112</v>
      </c>
      <c r="F741" s="3" t="s">
        <v>35</v>
      </c>
      <c r="G741" s="2"/>
      <c r="H741" s="2" t="s">
        <v>112</v>
      </c>
      <c r="I741" s="2" t="s">
        <v>168</v>
      </c>
      <c r="J741" s="2" t="s">
        <v>2328</v>
      </c>
      <c r="K741" s="4" t="str">
        <f t="shared" ref="K741:K743" si="101">HYPERLINK("https://openlibrary.org/works/OL39438687W","Abrir enlace")</f>
        <v>Abrir enlace</v>
      </c>
      <c r="L741" s="2" t="s">
        <v>2329</v>
      </c>
      <c r="M741" s="2"/>
      <c r="N741" s="2" t="s">
        <v>45</v>
      </c>
      <c r="O741" s="2"/>
      <c r="P741" s="4" t="str">
        <f t="shared" ref="P741:P743" si="102">HYPERLINK("https://openlibrary.org/works/OL39438687W","Abrir enlace")</f>
        <v>Abrir enlace</v>
      </c>
      <c r="Q741" s="2"/>
      <c r="R741" s="2"/>
      <c r="S741" s="2"/>
      <c r="T741" s="2"/>
      <c r="U741" s="2"/>
      <c r="V741" s="2"/>
      <c r="W741" s="2"/>
      <c r="X741" s="2"/>
      <c r="Y741" s="2"/>
      <c r="Z741" s="2"/>
      <c r="AA741" s="2" t="s">
        <v>40</v>
      </c>
      <c r="AB741" s="2" t="s">
        <v>1325</v>
      </c>
      <c r="AC741" s="2"/>
      <c r="AD741" s="2"/>
      <c r="AE741" s="2"/>
    </row>
    <row r="742" ht="15.75" customHeight="1">
      <c r="A742" s="2">
        <v>742.0</v>
      </c>
      <c r="B742" s="2" t="s">
        <v>2326</v>
      </c>
      <c r="C742" s="2" t="s">
        <v>2327</v>
      </c>
      <c r="D742" s="2" t="s">
        <v>33</v>
      </c>
      <c r="E742" s="2" t="s">
        <v>112</v>
      </c>
      <c r="F742" s="3" t="s">
        <v>35</v>
      </c>
      <c r="G742" s="2"/>
      <c r="H742" s="2" t="s">
        <v>112</v>
      </c>
      <c r="I742" s="2" t="s">
        <v>168</v>
      </c>
      <c r="J742" s="2" t="s">
        <v>2328</v>
      </c>
      <c r="K742" s="4" t="str">
        <f t="shared" si="101"/>
        <v>Abrir enlace</v>
      </c>
      <c r="L742" s="2" t="s">
        <v>2329</v>
      </c>
      <c r="M742" s="2"/>
      <c r="N742" s="2" t="s">
        <v>45</v>
      </c>
      <c r="O742" s="2"/>
      <c r="P742" s="4" t="str">
        <f t="shared" si="102"/>
        <v>Abrir enlace</v>
      </c>
      <c r="Q742" s="2"/>
      <c r="R742" s="2"/>
      <c r="S742" s="2"/>
      <c r="T742" s="2"/>
      <c r="U742" s="2"/>
      <c r="V742" s="2"/>
      <c r="W742" s="2"/>
      <c r="X742" s="2"/>
      <c r="Y742" s="2"/>
      <c r="Z742" s="2"/>
      <c r="AA742" s="2" t="s">
        <v>40</v>
      </c>
      <c r="AB742" s="2" t="s">
        <v>1325</v>
      </c>
      <c r="AC742" s="2"/>
      <c r="AD742" s="2"/>
      <c r="AE742" s="2"/>
    </row>
    <row r="743" ht="15.75" customHeight="1">
      <c r="A743" s="2">
        <v>743.0</v>
      </c>
      <c r="B743" s="2" t="s">
        <v>2326</v>
      </c>
      <c r="C743" s="2" t="s">
        <v>2327</v>
      </c>
      <c r="D743" s="2" t="s">
        <v>33</v>
      </c>
      <c r="E743" s="2" t="s">
        <v>112</v>
      </c>
      <c r="F743" s="3" t="s">
        <v>35</v>
      </c>
      <c r="G743" s="2"/>
      <c r="H743" s="2" t="s">
        <v>112</v>
      </c>
      <c r="I743" s="2" t="s">
        <v>168</v>
      </c>
      <c r="J743" s="2" t="s">
        <v>2328</v>
      </c>
      <c r="K743" s="4" t="str">
        <f t="shared" si="101"/>
        <v>Abrir enlace</v>
      </c>
      <c r="L743" s="2" t="s">
        <v>2329</v>
      </c>
      <c r="M743" s="2"/>
      <c r="N743" s="2" t="s">
        <v>45</v>
      </c>
      <c r="O743" s="2"/>
      <c r="P743" s="4" t="str">
        <f t="shared" si="102"/>
        <v>Abrir enlace</v>
      </c>
      <c r="Q743" s="2"/>
      <c r="R743" s="2"/>
      <c r="S743" s="2"/>
      <c r="T743" s="2"/>
      <c r="U743" s="2"/>
      <c r="V743" s="2"/>
      <c r="W743" s="2"/>
      <c r="X743" s="2"/>
      <c r="Y743" s="2"/>
      <c r="Z743" s="2"/>
      <c r="AA743" s="2" t="s">
        <v>40</v>
      </c>
      <c r="AB743" s="2" t="s">
        <v>1325</v>
      </c>
      <c r="AC743" s="2"/>
      <c r="AD743" s="2"/>
      <c r="AE743" s="2"/>
    </row>
    <row r="744" ht="15.75" customHeight="1">
      <c r="A744" s="2">
        <v>744.0</v>
      </c>
      <c r="B744" s="2" t="s">
        <v>2330</v>
      </c>
      <c r="C744" s="2"/>
      <c r="D744" s="2" t="s">
        <v>165</v>
      </c>
      <c r="E744" s="2" t="s">
        <v>70</v>
      </c>
      <c r="F744" s="2" t="s">
        <v>35</v>
      </c>
      <c r="G744" s="2"/>
      <c r="H744" s="2" t="s">
        <v>70</v>
      </c>
      <c r="I744" s="2" t="s">
        <v>36</v>
      </c>
      <c r="J744" s="2" t="s">
        <v>2331</v>
      </c>
      <c r="K744" s="4" t="str">
        <f>HYPERLINK("https://books.google.com/books/about/Semanario_de_agricultura_y_artes_dirigid.html?id=vzOw0AEACAAJ","Abrir enlace")</f>
        <v>Abrir enlace</v>
      </c>
      <c r="L744" s="2" t="s">
        <v>2332</v>
      </c>
      <c r="M744" s="2"/>
      <c r="N744" s="2" t="s">
        <v>91</v>
      </c>
      <c r="O744" s="2" t="s">
        <v>993</v>
      </c>
      <c r="P744" s="4" t="str">
        <f>HYPERLINK("https://books.google.com/books/about/Semanario_de_agricultura_y_artes_dirigid.html?id=vzOw0AEACAAJ","Abrir enlace")</f>
        <v>Abrir enlace</v>
      </c>
      <c r="Q744" s="2" t="s">
        <v>2333</v>
      </c>
      <c r="R744" s="2"/>
      <c r="S744" s="2" t="s">
        <v>91</v>
      </c>
      <c r="T744" s="2" t="s">
        <v>2334</v>
      </c>
      <c r="U744" s="4" t="str">
        <f>HYPERLINK("https://fama.us.es/discovery/fulldisplay/alma991000572699704987/34CBUA_US:VU1","Abrir enlace")</f>
        <v>Abrir enlace</v>
      </c>
      <c r="V744" s="2" t="s">
        <v>2335</v>
      </c>
      <c r="W744" s="2"/>
      <c r="X744" s="2" t="s">
        <v>91</v>
      </c>
      <c r="Y744" s="2" t="s">
        <v>478</v>
      </c>
      <c r="Z744" s="4" t="str">
        <f>HYPERLINK("https://openlibrary.org/books/OL293674M/Prensa_agraria_en_la_España_de_la_Ilustración","Abrir enlace")</f>
        <v>Abrir enlace</v>
      </c>
      <c r="AA744" s="2"/>
      <c r="AB744" s="2"/>
      <c r="AC744" s="2"/>
      <c r="AD744" s="2"/>
      <c r="AE744" s="2"/>
    </row>
    <row r="745" ht="15.75" customHeight="1">
      <c r="A745" s="2">
        <v>745.0</v>
      </c>
      <c r="B745" s="2" t="s">
        <v>2336</v>
      </c>
      <c r="C745" s="2" t="s">
        <v>2337</v>
      </c>
      <c r="D745" s="2" t="s">
        <v>33</v>
      </c>
      <c r="E745" s="2" t="s">
        <v>112</v>
      </c>
      <c r="F745" s="3" t="s">
        <v>35</v>
      </c>
      <c r="G745" s="2"/>
      <c r="H745" s="2" t="s">
        <v>112</v>
      </c>
      <c r="I745" s="2" t="s">
        <v>36</v>
      </c>
      <c r="J745" s="2" t="s">
        <v>2338</v>
      </c>
      <c r="K745" s="4" t="str">
        <f>HYPERLINK("https://openlibrary.org/works/OL42499534W","Abrir enlace")</f>
        <v>Abrir enlace</v>
      </c>
      <c r="L745" s="2" t="s">
        <v>2339</v>
      </c>
      <c r="M745" s="2"/>
      <c r="N745" s="2" t="s">
        <v>45</v>
      </c>
      <c r="O745" s="2"/>
      <c r="P745" s="4" t="str">
        <f>HYPERLINK("https://openlibrary.org/works/OL42499534W","Abrir enlace")</f>
        <v>Abrir enlace</v>
      </c>
      <c r="Q745" s="2"/>
      <c r="R745" s="2"/>
      <c r="S745" s="2"/>
      <c r="T745" s="2"/>
      <c r="U745" s="2"/>
      <c r="V745" s="2"/>
      <c r="W745" s="2"/>
      <c r="X745" s="2"/>
      <c r="Y745" s="2"/>
      <c r="Z745" s="2"/>
      <c r="AA745" s="2" t="s">
        <v>46</v>
      </c>
      <c r="AB745" s="2" t="s">
        <v>2340</v>
      </c>
      <c r="AC745" s="2"/>
      <c r="AD745" s="2"/>
      <c r="AE745" s="2"/>
    </row>
    <row r="746" ht="15.75" customHeight="1">
      <c r="A746" s="2">
        <v>746.0</v>
      </c>
      <c r="B746" s="2" t="s">
        <v>2341</v>
      </c>
      <c r="C746" s="2" t="s">
        <v>77</v>
      </c>
      <c r="D746" s="2" t="s">
        <v>33</v>
      </c>
      <c r="E746" s="2" t="s">
        <v>64</v>
      </c>
      <c r="F746" s="2" t="s">
        <v>35</v>
      </c>
      <c r="G746" s="2"/>
      <c r="H746" s="2" t="s">
        <v>64</v>
      </c>
      <c r="I746" s="2" t="s">
        <v>36</v>
      </c>
      <c r="J746" s="2" t="s">
        <v>1979</v>
      </c>
      <c r="K746" s="4" t="str">
        <f>HYPERLINK("https://books.google.com/books/about/El_anticuario.html?id=zrQyBwAAQBAJ","Abrir enlace")</f>
        <v>Abrir enlace</v>
      </c>
      <c r="L746" s="2" t="s">
        <v>2342</v>
      </c>
      <c r="M746" s="2"/>
      <c r="N746" s="2" t="s">
        <v>91</v>
      </c>
      <c r="O746" s="2" t="s">
        <v>893</v>
      </c>
      <c r="P746" s="4" t="str">
        <f>HYPERLINK("https://books.google.com/books/about/El_anticuario.html?id=zrQyBwAAQBAJ","Abrir enlace")</f>
        <v>Abrir enlace</v>
      </c>
      <c r="Q746" s="2" t="s">
        <v>2343</v>
      </c>
      <c r="R746" s="2"/>
      <c r="S746" s="2" t="s">
        <v>91</v>
      </c>
      <c r="T746" s="2" t="s">
        <v>2344</v>
      </c>
      <c r="U746" s="4" t="str">
        <f>HYPERLINK("https://litseller.com/es/scott-walter/el-anticuario","Abrir enlace")</f>
        <v>Abrir enlace</v>
      </c>
      <c r="V746" s="2" t="s">
        <v>2345</v>
      </c>
      <c r="W746" s="2"/>
      <c r="X746" s="2" t="s">
        <v>91</v>
      </c>
      <c r="Y746" s="2" t="s">
        <v>2346</v>
      </c>
      <c r="Z746" s="4" t="str">
        <f>HYPERLINK("https://www.perlego.com/es/book/2559227/el-anticuario-pdf","Abrir enlace")</f>
        <v>Abrir enlace</v>
      </c>
      <c r="AA746" s="2"/>
      <c r="AB746" s="2"/>
      <c r="AC746" s="2"/>
      <c r="AD746" s="2"/>
      <c r="AE746" s="2"/>
    </row>
    <row r="747" ht="15.75" customHeight="1">
      <c r="A747" s="2">
        <v>747.0</v>
      </c>
      <c r="B747" s="2" t="s">
        <v>2341</v>
      </c>
      <c r="C747" s="2" t="s">
        <v>77</v>
      </c>
      <c r="D747" s="2" t="s">
        <v>33</v>
      </c>
      <c r="E747" s="2" t="s">
        <v>64</v>
      </c>
      <c r="F747" s="2" t="s">
        <v>35</v>
      </c>
      <c r="G747" s="2"/>
      <c r="H747" s="2" t="s">
        <v>64</v>
      </c>
      <c r="I747" s="2" t="s">
        <v>36</v>
      </c>
      <c r="J747" s="2" t="s">
        <v>1979</v>
      </c>
      <c r="K747" s="2" t="s">
        <v>757</v>
      </c>
      <c r="L747" s="2" t="s">
        <v>2342</v>
      </c>
      <c r="M747" s="2"/>
      <c r="N747" s="2" t="s">
        <v>91</v>
      </c>
      <c r="O747" s="2" t="s">
        <v>893</v>
      </c>
      <c r="P747" s="2" t="s">
        <v>757</v>
      </c>
      <c r="Q747" s="2" t="s">
        <v>2343</v>
      </c>
      <c r="R747" s="2"/>
      <c r="S747" s="2" t="s">
        <v>91</v>
      </c>
      <c r="T747" s="2" t="s">
        <v>2344</v>
      </c>
      <c r="U747" s="2" t="s">
        <v>757</v>
      </c>
      <c r="V747" s="2" t="s">
        <v>2345</v>
      </c>
      <c r="W747" s="2"/>
      <c r="X747" s="2" t="s">
        <v>91</v>
      </c>
      <c r="Y747" s="2" t="s">
        <v>2346</v>
      </c>
      <c r="Z747" s="2" t="s">
        <v>757</v>
      </c>
      <c r="AA747" s="2"/>
      <c r="AB747" s="2"/>
      <c r="AC747" s="2"/>
      <c r="AD747" s="2"/>
      <c r="AE747" s="2"/>
    </row>
    <row r="748" ht="15.75" customHeight="1">
      <c r="A748" s="2">
        <v>748.0</v>
      </c>
      <c r="B748" s="2" t="s">
        <v>2347</v>
      </c>
      <c r="C748" s="2" t="s">
        <v>2348</v>
      </c>
      <c r="D748" s="2" t="s">
        <v>99</v>
      </c>
      <c r="E748" s="2" t="s">
        <v>64</v>
      </c>
      <c r="F748" s="2" t="s">
        <v>35</v>
      </c>
      <c r="G748" s="2"/>
      <c r="H748" s="2" t="s">
        <v>64</v>
      </c>
      <c r="I748" s="2" t="s">
        <v>36</v>
      </c>
      <c r="J748" s="2" t="s">
        <v>1417</v>
      </c>
      <c r="K748" s="4" t="str">
        <f>HYPERLINK("https://books.google.com/books/about/Fachwörterbuch_Physik_alphabetisch_und.html?id=hbpoEAAAQBAJ","Abrir enlace")</f>
        <v>Abrir enlace</v>
      </c>
      <c r="L748" s="2" t="s">
        <v>2349</v>
      </c>
      <c r="M748" s="2"/>
      <c r="N748" s="2" t="s">
        <v>91</v>
      </c>
      <c r="O748" s="2" t="s">
        <v>2350</v>
      </c>
      <c r="P748" s="4" t="str">
        <f>HYPERLINK("https://books.google.com/books/about/Fachwörterbuch_Physik_alphabetisch_und.html?id=hbpoEAAAQBAJ","Abrir enlace")</f>
        <v>Abrir enlace</v>
      </c>
      <c r="Q748" s="2" t="s">
        <v>2351</v>
      </c>
      <c r="R748" s="2" t="s">
        <v>2352</v>
      </c>
      <c r="S748" s="2" t="s">
        <v>54</v>
      </c>
      <c r="T748" s="2" t="s">
        <v>1663</v>
      </c>
      <c r="U748" s="4" t="str">
        <f>HYPERLINK("https://archive.org/details/resurrectionofbo0000unse","Abrir enlace")</f>
        <v>Abrir enlace</v>
      </c>
      <c r="V748" s="2" t="s">
        <v>2353</v>
      </c>
      <c r="W748" s="2" t="s">
        <v>2354</v>
      </c>
      <c r="X748" s="2" t="s">
        <v>54</v>
      </c>
      <c r="Y748" s="2" t="s">
        <v>1641</v>
      </c>
      <c r="Z748" s="4" t="str">
        <f>HYPERLINK("https://archive.org/details/ErzbergerMatthias-ErlebnisseImWeltkrieg","Abrir enlace")</f>
        <v>Abrir enlace</v>
      </c>
      <c r="AA748" s="2"/>
      <c r="AB748" s="2"/>
      <c r="AC748" s="2"/>
      <c r="AD748" s="2"/>
      <c r="AE748" s="2"/>
    </row>
    <row r="749" ht="15.75" customHeight="1">
      <c r="A749" s="2">
        <v>749.0</v>
      </c>
      <c r="B749" s="2" t="s">
        <v>2355</v>
      </c>
      <c r="C749" s="2"/>
      <c r="D749" s="2" t="s">
        <v>99</v>
      </c>
      <c r="E749" s="2" t="s">
        <v>64</v>
      </c>
      <c r="F749" s="2" t="s">
        <v>35</v>
      </c>
      <c r="G749" s="2"/>
      <c r="H749" s="2" t="s">
        <v>64</v>
      </c>
      <c r="I749" s="2" t="s">
        <v>168</v>
      </c>
      <c r="J749" s="2" t="s">
        <v>2356</v>
      </c>
      <c r="K749" s="4" t="str">
        <f>HYPERLINK("https://eman-archives.org/BiblioBaseXIX/items/show/199078","Abrir enlace")</f>
        <v>Abrir enlace</v>
      </c>
      <c r="L749" s="2" t="s">
        <v>2357</v>
      </c>
      <c r="M749" s="2"/>
      <c r="N749" s="2" t="s">
        <v>91</v>
      </c>
      <c r="O749" s="2" t="s">
        <v>2358</v>
      </c>
      <c r="P749" s="4" t="str">
        <f>HYPERLINK("https://eman-archives.org/BiblioBaseXIX/items/show/199078","Abrir enlace")</f>
        <v>Abrir enlace</v>
      </c>
      <c r="Q749" s="2" t="s">
        <v>2359</v>
      </c>
      <c r="R749" s="2"/>
      <c r="S749" s="2" t="s">
        <v>91</v>
      </c>
      <c r="T749" s="2" t="s">
        <v>2360</v>
      </c>
      <c r="U749" s="4" t="str">
        <f>HYPERLINK("https://catalogue.bnf.fr/ark:/12148/cb359802077","Abrir enlace")</f>
        <v>Abrir enlace</v>
      </c>
      <c r="V749" s="2" t="s">
        <v>2361</v>
      </c>
      <c r="W749" s="2"/>
      <c r="X749" s="2" t="s">
        <v>91</v>
      </c>
      <c r="Y749" s="2" t="s">
        <v>2362</v>
      </c>
      <c r="Z749" s="4" t="str">
        <f>HYPERLINK("https://fr.wikipedia.org/wiki/Flore_(mythologie)","Abrir enlace")</f>
        <v>Abrir enlace</v>
      </c>
      <c r="AA749" s="2"/>
      <c r="AB749" s="2"/>
      <c r="AC749" s="2"/>
      <c r="AD749" s="2"/>
      <c r="AE749" s="2"/>
    </row>
    <row r="750" ht="15.75" customHeight="1">
      <c r="A750" s="2">
        <v>750.0</v>
      </c>
      <c r="B750" s="2" t="s">
        <v>2363</v>
      </c>
      <c r="C750" s="2"/>
      <c r="D750" s="2" t="s">
        <v>165</v>
      </c>
      <c r="E750" s="2" t="s">
        <v>34</v>
      </c>
      <c r="F750" s="3" t="s">
        <v>35</v>
      </c>
      <c r="G750" s="2"/>
      <c r="H750" s="2" t="s">
        <v>34</v>
      </c>
      <c r="I750" s="2" t="s">
        <v>36</v>
      </c>
      <c r="J750" s="2" t="s">
        <v>2364</v>
      </c>
      <c r="K750" s="4" t="str">
        <f>HYPERLINK("https://archive.org/details/historyofchurchi0000moor_n2e0","Abrir enlace")</f>
        <v>Abrir enlace</v>
      </c>
      <c r="L750" s="2" t="s">
        <v>2365</v>
      </c>
      <c r="M750" s="2"/>
      <c r="N750" s="2" t="s">
        <v>54</v>
      </c>
      <c r="O750" s="2"/>
      <c r="P750" s="4" t="str">
        <f>HYPERLINK("https://archive.org/details/historyofchurchi0000moor_n2e0","Abrir enlace")</f>
        <v>Abrir enlace</v>
      </c>
      <c r="Q750" s="2"/>
      <c r="R750" s="2"/>
      <c r="S750" s="2"/>
      <c r="T750" s="2"/>
      <c r="U750" s="2"/>
      <c r="V750" s="2"/>
      <c r="W750" s="2"/>
      <c r="X750" s="2"/>
      <c r="Y750" s="2"/>
      <c r="Z750" s="2"/>
      <c r="AA750" s="2" t="s">
        <v>66</v>
      </c>
      <c r="AB750" s="2" t="s">
        <v>2366</v>
      </c>
      <c r="AC750" s="2"/>
      <c r="AD750" s="2"/>
      <c r="AE750" s="2"/>
    </row>
    <row r="751" ht="15.75" customHeight="1">
      <c r="A751" s="2">
        <v>751.0</v>
      </c>
      <c r="B751" s="2" t="s">
        <v>2367</v>
      </c>
      <c r="C751" s="2" t="s">
        <v>2368</v>
      </c>
      <c r="D751" s="2" t="s">
        <v>33</v>
      </c>
      <c r="E751" s="2" t="s">
        <v>34</v>
      </c>
      <c r="F751" s="3" t="s">
        <v>35</v>
      </c>
      <c r="G751" s="2"/>
      <c r="H751" s="2" t="s">
        <v>34</v>
      </c>
      <c r="I751" s="2" t="s">
        <v>36</v>
      </c>
      <c r="J751" s="2" t="s">
        <v>37</v>
      </c>
      <c r="K751" s="4" t="str">
        <f>HYPERLINK("https://archive.org/details/guideindicateur01hammgoog","Abrir enlace")</f>
        <v>Abrir enlace</v>
      </c>
      <c r="L751" s="2" t="s">
        <v>2369</v>
      </c>
      <c r="M751" s="2"/>
      <c r="N751" s="2" t="s">
        <v>54</v>
      </c>
      <c r="O751" s="2"/>
      <c r="P751" s="4" t="str">
        <f>HYPERLINK("https://archive.org/details/guideindicateur01hammgoog","Abrir enlace")</f>
        <v>Abrir enlace</v>
      </c>
      <c r="Q751" s="2"/>
      <c r="R751" s="2"/>
      <c r="S751" s="2"/>
      <c r="T751" s="2"/>
      <c r="U751" s="2"/>
      <c r="V751" s="2"/>
      <c r="W751" s="2"/>
      <c r="X751" s="2"/>
      <c r="Y751" s="2"/>
      <c r="Z751" s="2"/>
      <c r="AA751" s="2" t="s">
        <v>40</v>
      </c>
      <c r="AB751" s="2" t="s">
        <v>41</v>
      </c>
      <c r="AC751" s="2"/>
      <c r="AD751" s="2"/>
      <c r="AE751" s="2"/>
    </row>
    <row r="752" ht="15.75" customHeight="1">
      <c r="A752" s="2">
        <v>752.0</v>
      </c>
      <c r="B752" s="2" t="s">
        <v>2370</v>
      </c>
      <c r="C752" s="2"/>
      <c r="D752" s="2" t="s">
        <v>33</v>
      </c>
      <c r="E752" s="2" t="s">
        <v>112</v>
      </c>
      <c r="F752" s="2" t="s">
        <v>35</v>
      </c>
      <c r="G752" s="2"/>
      <c r="H752" s="2" t="s">
        <v>112</v>
      </c>
      <c r="I752" s="2" t="s">
        <v>36</v>
      </c>
      <c r="J752" s="2" t="s">
        <v>2371</v>
      </c>
      <c r="K752" s="4" t="str">
        <f>HYPERLINK("https://books.google.com/books/about/El_Sacerdote_santificado_en_la_administr.html?id=JBhVklEc4JYC","Abrir enlace")</f>
        <v>Abrir enlace</v>
      </c>
      <c r="L752" s="2" t="s">
        <v>2372</v>
      </c>
      <c r="M752" s="2"/>
      <c r="N752" s="2" t="s">
        <v>91</v>
      </c>
      <c r="O752" s="2" t="s">
        <v>1247</v>
      </c>
      <c r="P752" s="4" t="str">
        <f>HYPERLINK("https://books.google.com/books/about/El_Sacerdote_santificado_en_la_administr.html?id=JBhVklEc4JYC","Abrir enlace")</f>
        <v>Abrir enlace</v>
      </c>
      <c r="Q752" s="2" t="s">
        <v>2373</v>
      </c>
      <c r="R752" s="2"/>
      <c r="S752" s="2" t="s">
        <v>91</v>
      </c>
      <c r="T752" s="2" t="s">
        <v>2374</v>
      </c>
      <c r="U752" s="4" t="str">
        <f>HYPERLINK("https://servicocatholicohispano.wordpress.com/2016/07/20/el-sacerdote-la-obra-de-la-santificacion-sacerdotal/","Abrir enlace")</f>
        <v>Abrir enlace</v>
      </c>
      <c r="V752" s="2" t="s">
        <v>2375</v>
      </c>
      <c r="W752" s="2" t="s">
        <v>2376</v>
      </c>
      <c r="X752" s="2" t="s">
        <v>54</v>
      </c>
      <c r="Y752" s="2" t="s">
        <v>1414</v>
      </c>
      <c r="Z752" s="4" t="str">
        <f>HYPERLINK("https://archive.org/details/bub_gb_iolPwrdKcqMC","Abrir enlace")</f>
        <v>Abrir enlace</v>
      </c>
      <c r="AA752" s="2"/>
      <c r="AB752" s="2"/>
      <c r="AC752" s="2"/>
      <c r="AD752" s="2"/>
      <c r="AE752" s="2"/>
    </row>
    <row r="753" ht="15.75" customHeight="1">
      <c r="A753" s="2">
        <v>753.0</v>
      </c>
      <c r="B753" s="2" t="s">
        <v>2377</v>
      </c>
      <c r="C753" s="2" t="s">
        <v>2378</v>
      </c>
      <c r="D753" s="2" t="s">
        <v>33</v>
      </c>
      <c r="E753" s="2" t="s">
        <v>188</v>
      </c>
      <c r="F753" s="2" t="s">
        <v>35</v>
      </c>
      <c r="G753" s="2"/>
      <c r="H753" s="2" t="s">
        <v>188</v>
      </c>
      <c r="I753" s="2" t="s">
        <v>36</v>
      </c>
      <c r="J753" s="2" t="s">
        <v>2379</v>
      </c>
      <c r="K753" s="4" t="str">
        <f>HYPERLINK("https://books.google.com/books/about/Recitationes_in_elementa_juris_civilis_s.html?id=RIlXAAAAcAAJ","Abrir enlace")</f>
        <v>Abrir enlace</v>
      </c>
      <c r="L753" s="2" t="s">
        <v>2380</v>
      </c>
      <c r="M753" s="2"/>
      <c r="N753" s="2" t="s">
        <v>91</v>
      </c>
      <c r="O753" s="2" t="s">
        <v>2082</v>
      </c>
      <c r="P753" s="4" t="str">
        <f>HYPERLINK("https://books.google.com/books/about/Recitationes_in_elementa_juris_civilis_s.html?id=RIlXAAAAcAAJ","Abrir enlace")</f>
        <v>Abrir enlace</v>
      </c>
      <c r="Q753" s="2" t="s">
        <v>2381</v>
      </c>
      <c r="R753" s="2"/>
      <c r="S753" s="2" t="s">
        <v>91</v>
      </c>
      <c r="T753" s="2" t="s">
        <v>2382</v>
      </c>
      <c r="U753" s="4" t="str">
        <f>HYPERLINK("https://www.zephyrbooks.com/product/291071/","Abrir enlace")</f>
        <v>Abrir enlace</v>
      </c>
      <c r="V753" s="2" t="s">
        <v>2383</v>
      </c>
      <c r="W753" s="2"/>
      <c r="X753" s="2" t="s">
        <v>91</v>
      </c>
      <c r="Y753" s="2" t="s">
        <v>659</v>
      </c>
      <c r="Z753" s="4" t="str">
        <f>HYPERLINK("https://www.cervantesvirtual.com/obra/io-gottl-heineccii-iureconsulti--recitationes-in-elementa-iuris-civilis-secundum-ordinem-institutionum/","Abrir enlace")</f>
        <v>Abrir enlace</v>
      </c>
      <c r="AA753" s="2"/>
      <c r="AB753" s="2"/>
      <c r="AC753" s="2"/>
      <c r="AD753" s="2"/>
      <c r="AE753" s="2"/>
    </row>
    <row r="754" ht="15.75" customHeight="1">
      <c r="A754" s="2">
        <v>754.0</v>
      </c>
      <c r="B754" s="2" t="s">
        <v>2384</v>
      </c>
      <c r="C754" s="2" t="s">
        <v>2385</v>
      </c>
      <c r="D754" s="2" t="s">
        <v>33</v>
      </c>
      <c r="E754" s="2" t="s">
        <v>70</v>
      </c>
      <c r="F754" s="3" t="s">
        <v>35</v>
      </c>
      <c r="G754" s="2"/>
      <c r="H754" s="2" t="s">
        <v>70</v>
      </c>
      <c r="I754" s="2" t="s">
        <v>36</v>
      </c>
      <c r="J754" s="2" t="s">
        <v>2386</v>
      </c>
      <c r="K754" s="4" t="str">
        <f>HYPERLINK("https://openlibrary.org/works/OL44335698W","Abrir enlace")</f>
        <v>Abrir enlace</v>
      </c>
      <c r="L754" s="2" t="s">
        <v>2387</v>
      </c>
      <c r="M754" s="2"/>
      <c r="N754" s="2" t="s">
        <v>45</v>
      </c>
      <c r="O754" s="2"/>
      <c r="P754" s="4" t="str">
        <f>HYPERLINK("https://openlibrary.org/works/OL44335698W","Abrir enlace")</f>
        <v>Abrir enlace</v>
      </c>
      <c r="Q754" s="2"/>
      <c r="R754" s="2"/>
      <c r="S754" s="2"/>
      <c r="T754" s="2"/>
      <c r="U754" s="2"/>
      <c r="V754" s="2"/>
      <c r="W754" s="2"/>
      <c r="X754" s="2"/>
      <c r="Y754" s="2"/>
      <c r="Z754" s="2"/>
      <c r="AA754" s="2" t="s">
        <v>40</v>
      </c>
      <c r="AB754" s="2" t="s">
        <v>2388</v>
      </c>
      <c r="AC754" s="2"/>
      <c r="AD754" s="2"/>
      <c r="AE754" s="2"/>
    </row>
    <row r="755" ht="15.75" customHeight="1">
      <c r="A755" s="2">
        <v>755.0</v>
      </c>
      <c r="B755" s="2" t="s">
        <v>2389</v>
      </c>
      <c r="C755" s="2" t="s">
        <v>2390</v>
      </c>
      <c r="D755" s="2" t="s">
        <v>33</v>
      </c>
      <c r="E755" s="2" t="s">
        <v>70</v>
      </c>
      <c r="F755" s="3" t="s">
        <v>35</v>
      </c>
      <c r="G755" s="2"/>
      <c r="H755" s="2" t="s">
        <v>70</v>
      </c>
      <c r="I755" s="2" t="s">
        <v>36</v>
      </c>
      <c r="J755" s="2" t="s">
        <v>37</v>
      </c>
      <c r="K755" s="4" t="str">
        <f>HYPERLINK("https://archive.org/details/leonsdeclinique00gravgoog","Abrir enlace")</f>
        <v>Abrir enlace</v>
      </c>
      <c r="L755" s="2" t="s">
        <v>2391</v>
      </c>
      <c r="M755" s="2"/>
      <c r="N755" s="2" t="s">
        <v>54</v>
      </c>
      <c r="O755" s="2"/>
      <c r="P755" s="4" t="str">
        <f>HYPERLINK("https://archive.org/details/leonsdeclinique00gravgoog","Abrir enlace")</f>
        <v>Abrir enlace</v>
      </c>
      <c r="Q755" s="2"/>
      <c r="R755" s="2"/>
      <c r="S755" s="2"/>
      <c r="T755" s="2"/>
      <c r="U755" s="2"/>
      <c r="V755" s="2"/>
      <c r="W755" s="2"/>
      <c r="X755" s="2"/>
      <c r="Y755" s="2"/>
      <c r="Z755" s="2"/>
      <c r="AA755" s="2" t="s">
        <v>40</v>
      </c>
      <c r="AB755" s="2" t="s">
        <v>72</v>
      </c>
      <c r="AC755" s="2"/>
      <c r="AD755" s="2"/>
      <c r="AE755" s="2"/>
    </row>
    <row r="756" ht="15.75" customHeight="1">
      <c r="A756" s="2">
        <v>756.0</v>
      </c>
      <c r="B756" s="2" t="s">
        <v>2392</v>
      </c>
      <c r="C756" s="2"/>
      <c r="D756" s="2" t="s">
        <v>33</v>
      </c>
      <c r="E756" s="2" t="s">
        <v>188</v>
      </c>
      <c r="F756" s="3" t="s">
        <v>35</v>
      </c>
      <c r="G756" s="2"/>
      <c r="H756" s="2" t="s">
        <v>188</v>
      </c>
      <c r="I756" s="2" t="s">
        <v>36</v>
      </c>
      <c r="J756" s="2" t="s">
        <v>37</v>
      </c>
      <c r="K756" s="4" t="str">
        <f>HYPERLINK("https://openlibrary.org/works/OL7894782W","Abrir enlace")</f>
        <v>Abrir enlace</v>
      </c>
      <c r="L756" s="2" t="s">
        <v>2392</v>
      </c>
      <c r="M756" s="2"/>
      <c r="N756" s="2" t="s">
        <v>45</v>
      </c>
      <c r="O756" s="2"/>
      <c r="P756" s="4" t="str">
        <f>HYPERLINK("https://openlibrary.org/works/OL7894782W","Abrir enlace")</f>
        <v>Abrir enlace</v>
      </c>
      <c r="Q756" s="2"/>
      <c r="R756" s="2"/>
      <c r="S756" s="2"/>
      <c r="T756" s="2"/>
      <c r="U756" s="2"/>
      <c r="V756" s="2"/>
      <c r="W756" s="2"/>
      <c r="X756" s="2"/>
      <c r="Y756" s="2"/>
      <c r="Z756" s="2"/>
      <c r="AA756" s="2" t="s">
        <v>51</v>
      </c>
      <c r="AB756" s="2" t="s">
        <v>551</v>
      </c>
      <c r="AC756" s="2"/>
      <c r="AD756" s="2"/>
      <c r="AE756" s="2"/>
    </row>
    <row r="757" ht="15.75" customHeight="1">
      <c r="A757" s="2">
        <v>757.0</v>
      </c>
      <c r="B757" s="2" t="s">
        <v>2393</v>
      </c>
      <c r="C757" s="2" t="s">
        <v>2394</v>
      </c>
      <c r="D757" s="2" t="s">
        <v>33</v>
      </c>
      <c r="E757" s="2" t="s">
        <v>64</v>
      </c>
      <c r="F757" s="2" t="s">
        <v>35</v>
      </c>
      <c r="G757" s="2"/>
      <c r="H757" s="2" t="s">
        <v>64</v>
      </c>
      <c r="I757" s="2" t="s">
        <v>168</v>
      </c>
      <c r="J757" s="2" t="s">
        <v>2395</v>
      </c>
      <c r="K757" s="4" t="str">
        <f>HYPERLINK("https://ia803207.us.archive.org/6/items/A2260222/A2260222.pdf","Abrir enlace")</f>
        <v>Abrir enlace</v>
      </c>
      <c r="L757" s="2" t="s">
        <v>2396</v>
      </c>
      <c r="M757" s="2"/>
      <c r="N757" s="2" t="s">
        <v>91</v>
      </c>
      <c r="O757" s="2" t="s">
        <v>2397</v>
      </c>
      <c r="P757" s="4" t="str">
        <f>HYPERLINK("https://ia803207.us.archive.org/6/items/A2260222/A2260222.pdf","Abrir enlace")</f>
        <v>Abrir enlace</v>
      </c>
      <c r="Q757" s="2" t="s">
        <v>2398</v>
      </c>
      <c r="R757" s="2"/>
      <c r="S757" s="2" t="s">
        <v>91</v>
      </c>
      <c r="T757" s="2" t="s">
        <v>1245</v>
      </c>
      <c r="U757" s="4" t="str">
        <f>HYPERLINK("https://books.google.com/books/about/Obras_literarias.html?id=TjvVAAAAMAAJ","Abrir enlace")</f>
        <v>Abrir enlace</v>
      </c>
      <c r="V757" s="2" t="s">
        <v>2399</v>
      </c>
      <c r="W757" s="2"/>
      <c r="X757" s="2" t="s">
        <v>91</v>
      </c>
      <c r="Y757" s="2" t="s">
        <v>2400</v>
      </c>
      <c r="Z757" s="4" t="str">
        <f>HYPERLINK("https://www.cervantesvirtual.com/obra-visor/obras-literarias-de-d-jose-marchena-tomo-i--0/html/fedd06f8-82b1-11df-acc7-002185ce6064_31.html","Abrir enlace")</f>
        <v>Abrir enlace</v>
      </c>
      <c r="AA757" s="2"/>
      <c r="AB757" s="2"/>
      <c r="AC757" s="2"/>
      <c r="AD757" s="2"/>
      <c r="AE757" s="2"/>
    </row>
    <row r="758" ht="15.75" customHeight="1">
      <c r="A758" s="2">
        <v>758.0</v>
      </c>
      <c r="B758" s="2" t="s">
        <v>2401</v>
      </c>
      <c r="C758" s="2" t="s">
        <v>2402</v>
      </c>
      <c r="D758" s="2" t="s">
        <v>49</v>
      </c>
      <c r="E758" s="2" t="s">
        <v>70</v>
      </c>
      <c r="F758" s="3" t="s">
        <v>35</v>
      </c>
      <c r="G758" s="2"/>
      <c r="H758" s="2" t="s">
        <v>70</v>
      </c>
      <c r="I758" s="2" t="s">
        <v>36</v>
      </c>
      <c r="J758" s="2" t="s">
        <v>37</v>
      </c>
      <c r="K758" s="4" t="str">
        <f>HYPERLINK("https://openlibrary.org/works/OL44696244W","Abrir enlace")</f>
        <v>Abrir enlace</v>
      </c>
      <c r="L758" s="2" t="s">
        <v>2403</v>
      </c>
      <c r="M758" s="2"/>
      <c r="N758" s="2" t="s">
        <v>45</v>
      </c>
      <c r="O758" s="2"/>
      <c r="P758" s="4" t="str">
        <f>HYPERLINK("https://openlibrary.org/works/OL44696244W","Abrir enlace")</f>
        <v>Abrir enlace</v>
      </c>
      <c r="Q758" s="2"/>
      <c r="R758" s="2"/>
      <c r="S758" s="2"/>
      <c r="T758" s="2"/>
      <c r="U758" s="2"/>
      <c r="V758" s="2"/>
      <c r="W758" s="2"/>
      <c r="X758" s="2"/>
      <c r="Y758" s="2"/>
      <c r="Z758" s="2"/>
      <c r="AA758" s="2" t="s">
        <v>40</v>
      </c>
      <c r="AB758" s="2" t="s">
        <v>72</v>
      </c>
      <c r="AC758" s="2"/>
      <c r="AD758" s="2"/>
      <c r="AE758" s="2"/>
    </row>
    <row r="759" ht="15.75" customHeight="1">
      <c r="A759" s="2">
        <v>759.0</v>
      </c>
      <c r="B759" s="2" t="s">
        <v>2404</v>
      </c>
      <c r="C759" s="2"/>
      <c r="D759" s="2" t="s">
        <v>49</v>
      </c>
      <c r="E759" s="2" t="s">
        <v>64</v>
      </c>
      <c r="F759" s="3" t="s">
        <v>35</v>
      </c>
      <c r="G759" s="2"/>
      <c r="H759" s="2" t="s">
        <v>64</v>
      </c>
      <c r="I759" s="2" t="s">
        <v>36</v>
      </c>
      <c r="J759" s="2" t="s">
        <v>2405</v>
      </c>
      <c r="K759" s="4" t="str">
        <f>HYPERLINK("https://archive.org/details/nuovovocabolari00mandgoog","Abrir enlace")</f>
        <v>Abrir enlace</v>
      </c>
      <c r="L759" s="2" t="s">
        <v>2406</v>
      </c>
      <c r="M759" s="2"/>
      <c r="N759" s="2" t="s">
        <v>54</v>
      </c>
      <c r="O759" s="2"/>
      <c r="P759" s="4" t="str">
        <f>HYPERLINK("https://archive.org/details/nuovovocabolari00mandgoog","Abrir enlace")</f>
        <v>Abrir enlace</v>
      </c>
      <c r="Q759" s="2"/>
      <c r="R759" s="2"/>
      <c r="S759" s="2"/>
      <c r="T759" s="2"/>
      <c r="U759" s="2"/>
      <c r="V759" s="2"/>
      <c r="W759" s="2"/>
      <c r="X759" s="2"/>
      <c r="Y759" s="2"/>
      <c r="Z759" s="2"/>
      <c r="AA759" s="2" t="s">
        <v>60</v>
      </c>
      <c r="AB759" s="2" t="s">
        <v>2407</v>
      </c>
      <c r="AC759" s="2"/>
      <c r="AD759" s="2"/>
      <c r="AE759" s="2"/>
    </row>
    <row r="760" ht="15.75" customHeight="1">
      <c r="A760" s="2">
        <v>760.0</v>
      </c>
      <c r="B760" s="2" t="s">
        <v>2408</v>
      </c>
      <c r="C760" s="2" t="s">
        <v>1817</v>
      </c>
      <c r="D760" s="2" t="s">
        <v>33</v>
      </c>
      <c r="E760" s="2" t="s">
        <v>70</v>
      </c>
      <c r="F760" s="3" t="s">
        <v>35</v>
      </c>
      <c r="G760" s="2"/>
      <c r="H760" s="2" t="s">
        <v>70</v>
      </c>
      <c r="I760" s="2" t="s">
        <v>36</v>
      </c>
      <c r="J760" s="2" t="s">
        <v>2409</v>
      </c>
      <c r="K760" s="4" t="str">
        <f>HYPERLINK("https://openlibrary.org/works/OL41205041W","Abrir enlace")</f>
        <v>Abrir enlace</v>
      </c>
      <c r="L760" s="2" t="s">
        <v>2410</v>
      </c>
      <c r="M760" s="2"/>
      <c r="N760" s="2" t="s">
        <v>45</v>
      </c>
      <c r="O760" s="2"/>
      <c r="P760" s="4" t="str">
        <f>HYPERLINK("https://openlibrary.org/works/OL41205041W","Abrir enlace")</f>
        <v>Abrir enlace</v>
      </c>
      <c r="Q760" s="2"/>
      <c r="R760" s="2"/>
      <c r="S760" s="2"/>
      <c r="T760" s="2"/>
      <c r="U760" s="2"/>
      <c r="V760" s="2"/>
      <c r="W760" s="2"/>
      <c r="X760" s="2"/>
      <c r="Y760" s="2"/>
      <c r="Z760" s="2"/>
      <c r="AA760" s="2" t="s">
        <v>46</v>
      </c>
      <c r="AB760" s="2" t="s">
        <v>1991</v>
      </c>
      <c r="AC760" s="2"/>
      <c r="AD760" s="2"/>
      <c r="AE760" s="2"/>
    </row>
    <row r="761" ht="15.75" customHeight="1">
      <c r="A761" s="2">
        <v>761.0</v>
      </c>
      <c r="B761" s="2" t="s">
        <v>2411</v>
      </c>
      <c r="C761" s="2"/>
      <c r="D761" s="2" t="s">
        <v>33</v>
      </c>
      <c r="E761" s="2" t="s">
        <v>34</v>
      </c>
      <c r="F761" s="3" t="s">
        <v>35</v>
      </c>
      <c r="G761" s="2"/>
      <c r="H761" s="2" t="s">
        <v>34</v>
      </c>
      <c r="I761" s="2" t="s">
        <v>36</v>
      </c>
      <c r="J761" s="2" t="s">
        <v>2412</v>
      </c>
      <c r="K761" s="4" t="str">
        <f>HYPERLINK("https://archive.org/details/ccsallustiicati00unkngoog","Abrir enlace")</f>
        <v>Abrir enlace</v>
      </c>
      <c r="L761" s="2" t="s">
        <v>2413</v>
      </c>
      <c r="M761" s="2"/>
      <c r="N761" s="2" t="s">
        <v>54</v>
      </c>
      <c r="O761" s="2"/>
      <c r="P761" s="4" t="str">
        <f>HYPERLINK("https://archive.org/details/ccsallustiicati00unkngoog","Abrir enlace")</f>
        <v>Abrir enlace</v>
      </c>
      <c r="Q761" s="2"/>
      <c r="R761" s="2"/>
      <c r="S761" s="2"/>
      <c r="T761" s="2"/>
      <c r="U761" s="2"/>
      <c r="V761" s="2"/>
      <c r="W761" s="2"/>
      <c r="X761" s="2"/>
      <c r="Y761" s="2"/>
      <c r="Z761" s="2"/>
      <c r="AA761" s="2" t="s">
        <v>46</v>
      </c>
      <c r="AB761" s="2" t="s">
        <v>55</v>
      </c>
      <c r="AC761" s="2"/>
      <c r="AD761" s="2"/>
      <c r="AE761" s="2"/>
    </row>
    <row r="762" ht="15.75" customHeight="1">
      <c r="A762" s="2">
        <v>762.0</v>
      </c>
      <c r="B762" s="2" t="s">
        <v>2414</v>
      </c>
      <c r="C762" s="2" t="s">
        <v>2415</v>
      </c>
      <c r="D762" s="2" t="s">
        <v>33</v>
      </c>
      <c r="E762" s="2" t="s">
        <v>64</v>
      </c>
      <c r="F762" s="3" t="s">
        <v>35</v>
      </c>
      <c r="G762" s="2"/>
      <c r="H762" s="2" t="s">
        <v>64</v>
      </c>
      <c r="I762" s="2" t="s">
        <v>36</v>
      </c>
      <c r="J762" s="2" t="s">
        <v>37</v>
      </c>
      <c r="K762" s="4" t="str">
        <f>HYPERLINK("https://openlibrary.org/works/OL9421908W","Abrir enlace")</f>
        <v>Abrir enlace</v>
      </c>
      <c r="L762" s="2" t="s">
        <v>2416</v>
      </c>
      <c r="M762" s="2"/>
      <c r="N762" s="2" t="s">
        <v>45</v>
      </c>
      <c r="O762" s="2"/>
      <c r="P762" s="4" t="str">
        <f>HYPERLINK("https://openlibrary.org/works/OL9421908W","Abrir enlace")</f>
        <v>Abrir enlace</v>
      </c>
      <c r="Q762" s="2"/>
      <c r="R762" s="2"/>
      <c r="S762" s="2"/>
      <c r="T762" s="2"/>
      <c r="U762" s="2"/>
      <c r="V762" s="2"/>
      <c r="W762" s="2"/>
      <c r="X762" s="2"/>
      <c r="Y762" s="2"/>
      <c r="Z762" s="2"/>
      <c r="AA762" s="2" t="s">
        <v>66</v>
      </c>
      <c r="AB762" s="2" t="s">
        <v>67</v>
      </c>
      <c r="AC762" s="2"/>
      <c r="AD762" s="2"/>
      <c r="AE762" s="2"/>
    </row>
    <row r="763" ht="15.75" customHeight="1">
      <c r="A763" s="2">
        <v>763.0</v>
      </c>
      <c r="B763" s="2" t="s">
        <v>2417</v>
      </c>
      <c r="C763" s="2" t="s">
        <v>2418</v>
      </c>
      <c r="D763" s="2" t="s">
        <v>33</v>
      </c>
      <c r="E763" s="2" t="s">
        <v>34</v>
      </c>
      <c r="F763" s="3" t="s">
        <v>35</v>
      </c>
      <c r="G763" s="2"/>
      <c r="H763" s="2" t="s">
        <v>34</v>
      </c>
      <c r="I763" s="2" t="s">
        <v>36</v>
      </c>
      <c r="J763" s="2" t="s">
        <v>37</v>
      </c>
      <c r="K763" s="4" t="str">
        <f>HYPERLINK("https://openlibrary.org/works/OL9421462W","Abrir enlace")</f>
        <v>Abrir enlace</v>
      </c>
      <c r="L763" s="2" t="s">
        <v>2419</v>
      </c>
      <c r="M763" s="2"/>
      <c r="N763" s="2" t="s">
        <v>45</v>
      </c>
      <c r="O763" s="2"/>
      <c r="P763" s="4" t="str">
        <f>HYPERLINK("https://openlibrary.org/works/OL9421462W","Abrir enlace")</f>
        <v>Abrir enlace</v>
      </c>
      <c r="Q763" s="2"/>
      <c r="R763" s="2"/>
      <c r="S763" s="2"/>
      <c r="T763" s="2"/>
      <c r="U763" s="2"/>
      <c r="V763" s="2"/>
      <c r="W763" s="2"/>
      <c r="X763" s="2"/>
      <c r="Y763" s="2"/>
      <c r="Z763" s="2"/>
      <c r="AA763" s="2" t="s">
        <v>66</v>
      </c>
      <c r="AB763" s="2" t="s">
        <v>41</v>
      </c>
      <c r="AC763" s="2"/>
      <c r="AD763" s="2"/>
      <c r="AE763" s="2"/>
    </row>
    <row r="764" ht="15.75" customHeight="1">
      <c r="A764" s="2">
        <v>764.0</v>
      </c>
      <c r="B764" s="2" t="s">
        <v>2420</v>
      </c>
      <c r="C764" s="2" t="s">
        <v>2421</v>
      </c>
      <c r="D764" s="2" t="s">
        <v>33</v>
      </c>
      <c r="E764" s="2" t="s">
        <v>64</v>
      </c>
      <c r="F764" s="3" t="s">
        <v>35</v>
      </c>
      <c r="G764" s="2"/>
      <c r="H764" s="2" t="s">
        <v>64</v>
      </c>
      <c r="I764" s="2" t="s">
        <v>168</v>
      </c>
      <c r="J764" s="2" t="s">
        <v>2422</v>
      </c>
      <c r="K764" s="4" t="str">
        <f>HYPERLINK("https://openlibrary.org/works/OL38713323W","Abrir enlace")</f>
        <v>Abrir enlace</v>
      </c>
      <c r="L764" s="2" t="s">
        <v>2423</v>
      </c>
      <c r="M764" s="2"/>
      <c r="N764" s="2" t="s">
        <v>45</v>
      </c>
      <c r="O764" s="2"/>
      <c r="P764" s="4" t="str">
        <f>HYPERLINK("https://openlibrary.org/works/OL38713323W","Abrir enlace")</f>
        <v>Abrir enlace</v>
      </c>
      <c r="Q764" s="2"/>
      <c r="R764" s="2"/>
      <c r="S764" s="2"/>
      <c r="T764" s="2"/>
      <c r="U764" s="2"/>
      <c r="V764" s="2"/>
      <c r="W764" s="2"/>
      <c r="X764" s="2"/>
      <c r="Y764" s="2"/>
      <c r="Z764" s="2"/>
      <c r="AA764" s="2" t="s">
        <v>60</v>
      </c>
      <c r="AB764" s="2" t="s">
        <v>2424</v>
      </c>
      <c r="AC764" s="2"/>
      <c r="AD764" s="2"/>
      <c r="AE764" s="2"/>
    </row>
    <row r="765" ht="15.75" customHeight="1">
      <c r="A765" s="2">
        <v>765.0</v>
      </c>
      <c r="B765" s="2" t="s">
        <v>2425</v>
      </c>
      <c r="C765" s="2"/>
      <c r="D765" s="2" t="s">
        <v>165</v>
      </c>
      <c r="E765" s="2" t="s">
        <v>64</v>
      </c>
      <c r="F765" s="2" t="s">
        <v>35</v>
      </c>
      <c r="G765" s="2"/>
      <c r="H765" s="2" t="s">
        <v>64</v>
      </c>
      <c r="I765" s="2" t="s">
        <v>36</v>
      </c>
      <c r="J765" s="2" t="s">
        <v>2426</v>
      </c>
      <c r="K765" s="4" t="str">
        <f>HYPERLINK("https://archive.org/details/depindaricarmini00leut","Abrir enlace")</f>
        <v>Abrir enlace</v>
      </c>
      <c r="L765" s="2" t="s">
        <v>2427</v>
      </c>
      <c r="M765" s="2" t="s">
        <v>2428</v>
      </c>
      <c r="N765" s="2" t="s">
        <v>54</v>
      </c>
      <c r="O765" s="2" t="s">
        <v>2429</v>
      </c>
      <c r="P765" s="4" t="str">
        <f>HYPERLINK("https://archive.org/details/depindaricarmini00leut","Abrir enlace")</f>
        <v>Abrir enlace</v>
      </c>
      <c r="Q765" s="2" t="s">
        <v>2430</v>
      </c>
      <c r="R765" s="2"/>
      <c r="S765" s="2" t="s">
        <v>54</v>
      </c>
      <c r="T765" s="2" t="s">
        <v>2431</v>
      </c>
      <c r="U765" s="4" t="str">
        <f>HYPERLINK("https://archive.org/details/bub_gb_CRs_L74OYI4C","Abrir enlace")</f>
        <v>Abrir enlace</v>
      </c>
      <c r="V765" s="2" t="s">
        <v>2432</v>
      </c>
      <c r="W765" s="2" t="s">
        <v>2433</v>
      </c>
      <c r="X765" s="2" t="s">
        <v>54</v>
      </c>
      <c r="Y765" s="2" t="s">
        <v>2434</v>
      </c>
      <c r="Z765" s="4" t="str">
        <f>HYPERLINK("https://archive.org/details/sexavrelpropert00propgoog","Abrir enlace")</f>
        <v>Abrir enlace</v>
      </c>
      <c r="AA765" s="2"/>
      <c r="AB765" s="2"/>
      <c r="AC765" s="2"/>
      <c r="AD765" s="2"/>
      <c r="AE765" s="2"/>
    </row>
    <row r="766" ht="15.75" customHeight="1">
      <c r="A766" s="2">
        <v>766.0</v>
      </c>
      <c r="B766" s="2" t="s">
        <v>2435</v>
      </c>
      <c r="C766" s="2" t="s">
        <v>2436</v>
      </c>
      <c r="D766" s="2" t="s">
        <v>49</v>
      </c>
      <c r="E766" s="2" t="s">
        <v>64</v>
      </c>
      <c r="F766" s="3" t="s">
        <v>35</v>
      </c>
      <c r="G766" s="2"/>
      <c r="H766" s="2" t="s">
        <v>64</v>
      </c>
      <c r="I766" s="2" t="s">
        <v>36</v>
      </c>
      <c r="J766" s="2" t="s">
        <v>2437</v>
      </c>
      <c r="K766" s="4" t="str">
        <f t="shared" ref="K766:K767" si="103">HYPERLINK("https://archive.org/details/bub_gb_PVb66aEU5q4C","Abrir enlace")</f>
        <v>Abrir enlace</v>
      </c>
      <c r="L766" s="2" t="s">
        <v>2438</v>
      </c>
      <c r="M766" s="2"/>
      <c r="N766" s="2" t="s">
        <v>54</v>
      </c>
      <c r="O766" s="2"/>
      <c r="P766" s="4" t="str">
        <f t="shared" ref="P766:P767" si="104">HYPERLINK("https://archive.org/details/bub_gb_PVb66aEU5q4C","Abrir enlace")</f>
        <v>Abrir enlace</v>
      </c>
      <c r="Q766" s="2"/>
      <c r="R766" s="2"/>
      <c r="S766" s="2"/>
      <c r="T766" s="2"/>
      <c r="U766" s="2"/>
      <c r="V766" s="2"/>
      <c r="W766" s="2"/>
      <c r="X766" s="2"/>
      <c r="Y766" s="2"/>
      <c r="Z766" s="2"/>
      <c r="AA766" s="2" t="s">
        <v>60</v>
      </c>
      <c r="AB766" s="2" t="s">
        <v>2439</v>
      </c>
      <c r="AC766" s="2"/>
      <c r="AD766" s="2"/>
      <c r="AE766" s="2"/>
    </row>
    <row r="767" ht="15.75" customHeight="1">
      <c r="A767" s="2">
        <v>767.0</v>
      </c>
      <c r="B767" s="2" t="s">
        <v>2435</v>
      </c>
      <c r="C767" s="2" t="s">
        <v>2436</v>
      </c>
      <c r="D767" s="2" t="s">
        <v>49</v>
      </c>
      <c r="E767" s="2" t="s">
        <v>64</v>
      </c>
      <c r="F767" s="3" t="s">
        <v>35</v>
      </c>
      <c r="G767" s="2"/>
      <c r="H767" s="2" t="s">
        <v>64</v>
      </c>
      <c r="I767" s="2" t="s">
        <v>36</v>
      </c>
      <c r="J767" s="2" t="s">
        <v>2437</v>
      </c>
      <c r="K767" s="4" t="str">
        <f t="shared" si="103"/>
        <v>Abrir enlace</v>
      </c>
      <c r="L767" s="2" t="s">
        <v>2438</v>
      </c>
      <c r="M767" s="2"/>
      <c r="N767" s="2" t="s">
        <v>54</v>
      </c>
      <c r="O767" s="2"/>
      <c r="P767" s="4" t="str">
        <f t="shared" si="104"/>
        <v>Abrir enlace</v>
      </c>
      <c r="Q767" s="2"/>
      <c r="R767" s="2"/>
      <c r="S767" s="2"/>
      <c r="T767" s="2"/>
      <c r="U767" s="2"/>
      <c r="V767" s="2"/>
      <c r="W767" s="2"/>
      <c r="X767" s="2"/>
      <c r="Y767" s="2"/>
      <c r="Z767" s="2"/>
      <c r="AA767" s="2" t="s">
        <v>60</v>
      </c>
      <c r="AB767" s="2" t="s">
        <v>2439</v>
      </c>
      <c r="AC767" s="2"/>
      <c r="AD767" s="2"/>
      <c r="AE767" s="2"/>
    </row>
    <row r="768" ht="15.75" customHeight="1">
      <c r="A768" s="2">
        <v>768.0</v>
      </c>
      <c r="B768" s="2" t="s">
        <v>2440</v>
      </c>
      <c r="C768" s="2" t="s">
        <v>277</v>
      </c>
      <c r="D768" s="2" t="s">
        <v>49</v>
      </c>
      <c r="E768" s="2" t="s">
        <v>34</v>
      </c>
      <c r="F768" s="3" t="s">
        <v>35</v>
      </c>
      <c r="G768" s="2"/>
      <c r="H768" s="2" t="s">
        <v>34</v>
      </c>
      <c r="I768" s="2" t="s">
        <v>36</v>
      </c>
      <c r="J768" s="2" t="s">
        <v>2441</v>
      </c>
      <c r="K768" s="4" t="str">
        <f>HYPERLINK("https://openlibrary.org/works/OL15434256W","Abrir enlace")</f>
        <v>Abrir enlace</v>
      </c>
      <c r="L768" s="2" t="s">
        <v>2440</v>
      </c>
      <c r="M768" s="2"/>
      <c r="N768" s="2" t="s">
        <v>45</v>
      </c>
      <c r="O768" s="2"/>
      <c r="P768" s="4" t="str">
        <f>HYPERLINK("https://openlibrary.org/works/OL15434256W","Abrir enlace")</f>
        <v>Abrir enlace</v>
      </c>
      <c r="Q768" s="2"/>
      <c r="R768" s="2"/>
      <c r="S768" s="2"/>
      <c r="T768" s="2"/>
      <c r="U768" s="2"/>
      <c r="V768" s="2"/>
      <c r="W768" s="2"/>
      <c r="X768" s="2"/>
      <c r="Y768" s="2"/>
      <c r="Z768" s="2"/>
      <c r="AA768" s="2" t="s">
        <v>40</v>
      </c>
      <c r="AB768" s="2" t="s">
        <v>343</v>
      </c>
      <c r="AC768" s="2"/>
      <c r="AD768" s="2"/>
      <c r="AE768" s="2"/>
    </row>
    <row r="769" ht="15.75" customHeight="1">
      <c r="A769" s="2">
        <v>769.0</v>
      </c>
      <c r="B769" s="2" t="s">
        <v>1960</v>
      </c>
      <c r="C769" s="2"/>
      <c r="D769" s="2" t="s">
        <v>49</v>
      </c>
      <c r="E769" s="2" t="s">
        <v>34</v>
      </c>
      <c r="F769" s="3" t="s">
        <v>35</v>
      </c>
      <c r="G769" s="2"/>
      <c r="H769" s="2" t="s">
        <v>34</v>
      </c>
      <c r="I769" s="2" t="s">
        <v>36</v>
      </c>
      <c r="J769" s="2" t="s">
        <v>37</v>
      </c>
      <c r="K769" s="4" t="str">
        <f>HYPERLINK("https://archive.org/details/bub_gb_LJjKNLWXby8C","Abrir enlace")</f>
        <v>Abrir enlace</v>
      </c>
      <c r="L769" s="2" t="s">
        <v>1961</v>
      </c>
      <c r="M769" s="2"/>
      <c r="N769" s="2" t="s">
        <v>54</v>
      </c>
      <c r="O769" s="2"/>
      <c r="P769" s="4" t="str">
        <f>HYPERLINK("https://archive.org/details/bub_gb_LJjKNLWXby8C","Abrir enlace")</f>
        <v>Abrir enlace</v>
      </c>
      <c r="Q769" s="2"/>
      <c r="R769" s="2"/>
      <c r="S769" s="2"/>
      <c r="T769" s="2"/>
      <c r="U769" s="2"/>
      <c r="V769" s="2"/>
      <c r="W769" s="2"/>
      <c r="X769" s="2"/>
      <c r="Y769" s="2"/>
      <c r="Z769" s="2"/>
      <c r="AA769" s="2" t="s">
        <v>51</v>
      </c>
      <c r="AB769" s="2" t="s">
        <v>41</v>
      </c>
      <c r="AC769" s="2"/>
      <c r="AD769" s="2"/>
      <c r="AE769" s="2"/>
    </row>
    <row r="770" ht="15.75" customHeight="1">
      <c r="A770" s="2">
        <v>770.0</v>
      </c>
      <c r="B770" s="2" t="s">
        <v>2442</v>
      </c>
      <c r="C770" s="2" t="s">
        <v>2443</v>
      </c>
      <c r="D770" s="2" t="s">
        <v>33</v>
      </c>
      <c r="E770" s="2" t="s">
        <v>64</v>
      </c>
      <c r="F770" s="2" t="s">
        <v>35</v>
      </c>
      <c r="G770" s="2"/>
      <c r="H770" s="2" t="s">
        <v>64</v>
      </c>
      <c r="I770" s="2" t="s">
        <v>36</v>
      </c>
      <c r="J770" s="2" t="s">
        <v>2444</v>
      </c>
      <c r="K770" s="4" t="str">
        <f>HYPERLINK("https://www.le-livre.fr/livres/fiche-r260168899.html","Abrir enlace")</f>
        <v>Abrir enlace</v>
      </c>
      <c r="L770" s="2" t="s">
        <v>2445</v>
      </c>
      <c r="M770" s="2"/>
      <c r="N770" s="2" t="s">
        <v>91</v>
      </c>
      <c r="O770" s="2" t="s">
        <v>1609</v>
      </c>
      <c r="P770" s="4" t="str">
        <f>HYPERLINK("https://www.le-livre.fr/livres/fiche-r260168899.html","Abrir enlace")</f>
        <v>Abrir enlace</v>
      </c>
      <c r="Q770" s="2" t="s">
        <v>2446</v>
      </c>
      <c r="R770" s="2"/>
      <c r="S770" s="2" t="s">
        <v>91</v>
      </c>
      <c r="T770" s="2" t="s">
        <v>2447</v>
      </c>
      <c r="U770" s="4" t="str">
        <f>HYPERLINK("https://books.google.com/books/about/Le_guide_du_jeune_littérateur.html?id=hZsziFFDsCIC","Abrir enlace")</f>
        <v>Abrir enlace</v>
      </c>
      <c r="V770" s="2" t="s">
        <v>2448</v>
      </c>
      <c r="W770" s="2"/>
      <c r="X770" s="2" t="s">
        <v>91</v>
      </c>
      <c r="Y770" s="2" t="s">
        <v>2449</v>
      </c>
      <c r="Z770" s="4" t="str">
        <f>HYPERLINK("https://archive.org/details/jeunelit00boeckaert","Abrir enlace")</f>
        <v>Abrir enlace</v>
      </c>
      <c r="AA770" s="2"/>
      <c r="AB770" s="2"/>
      <c r="AC770" s="2"/>
      <c r="AD770" s="2"/>
      <c r="AE770" s="2"/>
    </row>
    <row r="771" ht="15.75" customHeight="1">
      <c r="A771" s="2">
        <v>771.0</v>
      </c>
      <c r="B771" s="2" t="s">
        <v>2450</v>
      </c>
      <c r="C771" s="2" t="s">
        <v>2451</v>
      </c>
      <c r="D771" s="2" t="s">
        <v>165</v>
      </c>
      <c r="E771" s="2" t="s">
        <v>64</v>
      </c>
      <c r="F771" s="3" t="s">
        <v>35</v>
      </c>
      <c r="G771" s="2"/>
      <c r="H771" s="2" t="s">
        <v>64</v>
      </c>
      <c r="I771" s="2" t="s">
        <v>36</v>
      </c>
      <c r="J771" s="2" t="s">
        <v>37</v>
      </c>
      <c r="K771" s="4" t="str">
        <f>HYPERLINK("https://openlibrary.org/works/OL22127643W","Abrir enlace")</f>
        <v>Abrir enlace</v>
      </c>
      <c r="L771" s="2" t="s">
        <v>2452</v>
      </c>
      <c r="M771" s="2"/>
      <c r="N771" s="2" t="s">
        <v>45</v>
      </c>
      <c r="O771" s="2"/>
      <c r="P771" s="4" t="str">
        <f>HYPERLINK("https://openlibrary.org/works/OL22127643W","Abrir enlace")</f>
        <v>Abrir enlace</v>
      </c>
      <c r="Q771" s="2"/>
      <c r="R771" s="2"/>
      <c r="S771" s="2"/>
      <c r="T771" s="2"/>
      <c r="U771" s="2"/>
      <c r="V771" s="2"/>
      <c r="W771" s="2"/>
      <c r="X771" s="2"/>
      <c r="Y771" s="2"/>
      <c r="Z771" s="2"/>
      <c r="AA771" s="2" t="s">
        <v>46</v>
      </c>
      <c r="AB771" s="2" t="s">
        <v>67</v>
      </c>
      <c r="AC771" s="2"/>
      <c r="AD771" s="2"/>
      <c r="AE771" s="2"/>
    </row>
    <row r="772" ht="15.75" customHeight="1">
      <c r="A772" s="2">
        <v>772.0</v>
      </c>
      <c r="B772" s="2" t="s">
        <v>2453</v>
      </c>
      <c r="C772" s="2"/>
      <c r="D772" s="2" t="s">
        <v>165</v>
      </c>
      <c r="E772" s="2" t="s">
        <v>188</v>
      </c>
      <c r="F772" s="3" t="s">
        <v>35</v>
      </c>
      <c r="G772" s="2"/>
      <c r="H772" s="2" t="s">
        <v>188</v>
      </c>
      <c r="I772" s="2" t="s">
        <v>36</v>
      </c>
      <c r="J772" s="2" t="s">
        <v>37</v>
      </c>
      <c r="K772" s="4" t="str">
        <f>HYPERLINK("https://archive.org/details/revge65131917guat","Abrir enlace")</f>
        <v>Abrir enlace</v>
      </c>
      <c r="L772" s="2" t="s">
        <v>2453</v>
      </c>
      <c r="M772" s="2"/>
      <c r="N772" s="2" t="s">
        <v>54</v>
      </c>
      <c r="O772" s="2"/>
      <c r="P772" s="4" t="str">
        <f>HYPERLINK("https://archive.org/details/revge65131917guat","Abrir enlace")</f>
        <v>Abrir enlace</v>
      </c>
      <c r="Q772" s="2"/>
      <c r="R772" s="2"/>
      <c r="S772" s="2"/>
      <c r="T772" s="2"/>
      <c r="U772" s="2"/>
      <c r="V772" s="2"/>
      <c r="W772" s="2"/>
      <c r="X772" s="2"/>
      <c r="Y772" s="2"/>
      <c r="Z772" s="2"/>
      <c r="AA772" s="2" t="s">
        <v>51</v>
      </c>
      <c r="AB772" s="2" t="s">
        <v>551</v>
      </c>
      <c r="AC772" s="2"/>
      <c r="AD772" s="2"/>
      <c r="AE772" s="2"/>
    </row>
    <row r="773" ht="15.75" customHeight="1">
      <c r="A773" s="2">
        <v>773.0</v>
      </c>
      <c r="B773" s="2" t="s">
        <v>2454</v>
      </c>
      <c r="C773" s="2" t="s">
        <v>2455</v>
      </c>
      <c r="D773" s="2" t="s">
        <v>33</v>
      </c>
      <c r="E773" s="2" t="s">
        <v>70</v>
      </c>
      <c r="F773" s="3" t="s">
        <v>35</v>
      </c>
      <c r="G773" s="2"/>
      <c r="H773" s="2" t="s">
        <v>70</v>
      </c>
      <c r="I773" s="2" t="s">
        <v>36</v>
      </c>
      <c r="J773" s="2" t="s">
        <v>2456</v>
      </c>
      <c r="K773" s="4" t="str">
        <f>HYPERLINK("https://openlibrary.org/works/OL44521850W","Abrir enlace")</f>
        <v>Abrir enlace</v>
      </c>
      <c r="L773" s="2" t="s">
        <v>2457</v>
      </c>
      <c r="M773" s="2"/>
      <c r="N773" s="2" t="s">
        <v>45</v>
      </c>
      <c r="O773" s="2"/>
      <c r="P773" s="4" t="str">
        <f>HYPERLINK("https://openlibrary.org/works/OL44521850W","Abrir enlace")</f>
        <v>Abrir enlace</v>
      </c>
      <c r="Q773" s="2"/>
      <c r="R773" s="2"/>
      <c r="S773" s="2"/>
      <c r="T773" s="2"/>
      <c r="U773" s="2"/>
      <c r="V773" s="2"/>
      <c r="W773" s="2"/>
      <c r="X773" s="2"/>
      <c r="Y773" s="2"/>
      <c r="Z773" s="2"/>
      <c r="AA773" s="2" t="s">
        <v>40</v>
      </c>
      <c r="AB773" s="2" t="s">
        <v>2388</v>
      </c>
      <c r="AC773" s="2"/>
      <c r="AD773" s="2"/>
      <c r="AE773" s="2"/>
    </row>
    <row r="774" ht="15.75" customHeight="1">
      <c r="A774" s="2">
        <v>774.0</v>
      </c>
      <c r="B774" s="2" t="s">
        <v>2458</v>
      </c>
      <c r="C774" s="2"/>
      <c r="D774" s="2" t="s">
        <v>99</v>
      </c>
      <c r="E774" s="2" t="s">
        <v>70</v>
      </c>
      <c r="F774" s="2" t="s">
        <v>35</v>
      </c>
      <c r="G774" s="2"/>
      <c r="H774" s="2" t="s">
        <v>70</v>
      </c>
      <c r="I774" s="2" t="s">
        <v>189</v>
      </c>
      <c r="J774" s="2" t="s">
        <v>2459</v>
      </c>
      <c r="K774" s="4" t="str">
        <f>HYPERLINK("https://www.mercadolibre.com.mx/coleccion-de-tratados-sobre-todos-los-conocimientos-humanos/up/MLMU940755952","Abrir enlace")</f>
        <v>Abrir enlace</v>
      </c>
      <c r="L774" s="2"/>
      <c r="M774" s="2"/>
      <c r="N774" s="2" t="s">
        <v>91</v>
      </c>
      <c r="O774" s="2" t="s">
        <v>1460</v>
      </c>
      <c r="P774" s="4" t="str">
        <f>HYPERLINK("https://www.mercadolibre.com.mx/coleccion-de-tratados-sobre-todos-los-conocimientos-humanos/up/MLMU940755952","Abrir enlace")</f>
        <v>Abrir enlace</v>
      </c>
      <c r="Q774" s="2" t="s">
        <v>2460</v>
      </c>
      <c r="R774" s="2"/>
      <c r="S774" s="2" t="s">
        <v>91</v>
      </c>
      <c r="T774" s="2" t="s">
        <v>1053</v>
      </c>
      <c r="U774" s="4" t="str">
        <f>HYPERLINK("https://books.google.com/books/about/Colección_completa_de_los_tratados_conv.html?id=AFASAQAAMAAJ","Abrir enlace")</f>
        <v>Abrir enlace</v>
      </c>
      <c r="V774" s="2" t="s">
        <v>2461</v>
      </c>
      <c r="W774" s="2"/>
      <c r="X774" s="2" t="s">
        <v>91</v>
      </c>
      <c r="Y774" s="2" t="s">
        <v>323</v>
      </c>
      <c r="Z774" s="4" t="str">
        <f>HYPERLINK("https://archive.org/details/colecciondelost06olivgoog","Abrir enlace")</f>
        <v>Abrir enlace</v>
      </c>
      <c r="AA774" s="2"/>
      <c r="AB774" s="2"/>
      <c r="AC774" s="2"/>
      <c r="AD774" s="2"/>
      <c r="AE774" s="2"/>
    </row>
    <row r="775" ht="15.75" customHeight="1">
      <c r="A775" s="2">
        <v>775.0</v>
      </c>
      <c r="B775" s="2" t="s">
        <v>2462</v>
      </c>
      <c r="C775" s="2" t="s">
        <v>2463</v>
      </c>
      <c r="D775" s="2" t="s">
        <v>33</v>
      </c>
      <c r="E775" s="2" t="s">
        <v>112</v>
      </c>
      <c r="F775" s="2" t="s">
        <v>35</v>
      </c>
      <c r="G775" s="2"/>
      <c r="H775" s="2" t="s">
        <v>112</v>
      </c>
      <c r="I775" s="2" t="s">
        <v>36</v>
      </c>
      <c r="J775" s="2" t="s">
        <v>2464</v>
      </c>
      <c r="K775" s="4" t="str">
        <f>HYPERLINK("https://books.google.com/books/about/Sermones_del_Illmo_Señor_D_Juan_Bautist.html?id=ZdEGqrMcPJwC","Abrir enlace")</f>
        <v>Abrir enlace</v>
      </c>
      <c r="L775" s="2" t="s">
        <v>2465</v>
      </c>
      <c r="M775" s="2"/>
      <c r="N775" s="2" t="s">
        <v>91</v>
      </c>
      <c r="O775" s="2" t="s">
        <v>1503</v>
      </c>
      <c r="P775" s="4" t="str">
        <f>HYPERLINK("https://books.google.com/books/about/Sermones_del_Illmo_Señor_D_Juan_Bautist.html?id=ZdEGqrMcPJwC","Abrir enlace")</f>
        <v>Abrir enlace</v>
      </c>
      <c r="Q775" s="2" t="s">
        <v>2466</v>
      </c>
      <c r="R775" s="2" t="s">
        <v>2467</v>
      </c>
      <c r="S775" s="2" t="s">
        <v>54</v>
      </c>
      <c r="T775" s="2" t="s">
        <v>2468</v>
      </c>
      <c r="U775" s="4" t="str">
        <f>HYPERLINK("https://archive.org/details/NoHicimosNadaPorLosPerrosJuanCarlosBoveri_201708","Abrir enlace")</f>
        <v>Abrir enlace</v>
      </c>
      <c r="V775" s="2" t="s">
        <v>2469</v>
      </c>
      <c r="W775" s="2" t="s">
        <v>2470</v>
      </c>
      <c r="X775" s="2" t="s">
        <v>54</v>
      </c>
      <c r="Y775" s="2" t="s">
        <v>2471</v>
      </c>
      <c r="Z775" s="4" t="str">
        <f>HYPERLINK("https://archive.org/details/lostreslocosdelm0000unse_g3a3","Abrir enlace")</f>
        <v>Abrir enlace</v>
      </c>
      <c r="AA775" s="2"/>
      <c r="AB775" s="2"/>
      <c r="AC775" s="2"/>
      <c r="AD775" s="2"/>
      <c r="AE775" s="2"/>
    </row>
    <row r="776" ht="15.75" customHeight="1">
      <c r="A776" s="2">
        <v>776.0</v>
      </c>
      <c r="B776" s="2" t="s">
        <v>2472</v>
      </c>
      <c r="C776" s="2"/>
      <c r="D776" s="2" t="s">
        <v>33</v>
      </c>
      <c r="E776" s="2" t="s">
        <v>64</v>
      </c>
      <c r="F776" s="2" t="s">
        <v>35</v>
      </c>
      <c r="G776" s="2"/>
      <c r="H776" s="2" t="s">
        <v>64</v>
      </c>
      <c r="I776" s="2" t="s">
        <v>36</v>
      </c>
      <c r="J776" s="2" t="s">
        <v>2473</v>
      </c>
      <c r="K776" s="4" t="str">
        <f>HYPERLINK("https://books.google.com/books/about/Lettres_angloises_ou_Histoire_de_Miss_Cl.html?id=wPsFAAAAQAAJ","Abrir enlace")</f>
        <v>Abrir enlace</v>
      </c>
      <c r="L776" s="2" t="s">
        <v>2474</v>
      </c>
      <c r="M776" s="2"/>
      <c r="N776" s="2" t="s">
        <v>91</v>
      </c>
      <c r="O776" s="2" t="s">
        <v>2475</v>
      </c>
      <c r="P776" s="4" t="str">
        <f>HYPERLINK("https://books.google.com/books/about/Lettres_angloises_ou_Histoire_de_Miss_Cl.html?id=wPsFAAAAQAAJ","Abrir enlace")</f>
        <v>Abrir enlace</v>
      </c>
      <c r="Q776" s="2" t="s">
        <v>2476</v>
      </c>
      <c r="R776" s="2"/>
      <c r="S776" s="2" t="s">
        <v>91</v>
      </c>
      <c r="T776" s="2" t="s">
        <v>2477</v>
      </c>
      <c r="U776" s="4" t="str">
        <f>HYPERLINK("https://muse.jhu.edu/book/124642","Abrir enlace")</f>
        <v>Abrir enlace</v>
      </c>
      <c r="V776" s="2" t="s">
        <v>2478</v>
      </c>
      <c r="W776" s="2"/>
      <c r="X776" s="2" t="s">
        <v>91</v>
      </c>
      <c r="Y776" s="2" t="s">
        <v>2479</v>
      </c>
      <c r="Z776" s="4" t="str">
        <f>HYPERLINK("https://fr.wikipedia.org/wiki/Clarisse_Harlowe","Abrir enlace")</f>
        <v>Abrir enlace</v>
      </c>
      <c r="AA776" s="2"/>
      <c r="AB776" s="2"/>
      <c r="AC776" s="2"/>
      <c r="AD776" s="2"/>
      <c r="AE776" s="2"/>
    </row>
    <row r="777" ht="15.75" customHeight="1">
      <c r="A777" s="2">
        <v>777.0</v>
      </c>
      <c r="B777" s="2" t="s">
        <v>2480</v>
      </c>
      <c r="C777" s="2" t="s">
        <v>2481</v>
      </c>
      <c r="D777" s="2" t="s">
        <v>33</v>
      </c>
      <c r="E777" s="2" t="s">
        <v>70</v>
      </c>
      <c r="F777" s="2" t="s">
        <v>35</v>
      </c>
      <c r="G777" s="2"/>
      <c r="H777" s="2" t="s">
        <v>70</v>
      </c>
      <c r="I777" s="2" t="s">
        <v>36</v>
      </c>
      <c r="J777" s="2" t="s">
        <v>2482</v>
      </c>
      <c r="K777" s="4" t="str">
        <f>HYPERLINK("https://babel.hathitrust.org/cgi/pt?id=ucm.5320315453","Abrir enlace")</f>
        <v>Abrir enlace</v>
      </c>
      <c r="L777" s="2" t="s">
        <v>2483</v>
      </c>
      <c r="M777" s="2"/>
      <c r="N777" s="2" t="s">
        <v>91</v>
      </c>
      <c r="O777" s="2" t="s">
        <v>2484</v>
      </c>
      <c r="P777" s="4" t="str">
        <f>HYPERLINK("https://babel.hathitrust.org/cgi/pt?id=ucm.5320315453","Abrir enlace")</f>
        <v>Abrir enlace</v>
      </c>
      <c r="Q777" s="2" t="s">
        <v>2485</v>
      </c>
      <c r="R777" s="2"/>
      <c r="S777" s="2" t="s">
        <v>91</v>
      </c>
      <c r="T777" s="2" t="s">
        <v>2486</v>
      </c>
      <c r="U777" s="4" t="str">
        <f>HYPERLINK("https://archive.org/details/lmensdhygi01tour","Abrir enlace")</f>
        <v>Abrir enlace</v>
      </c>
      <c r="V777" s="2" t="s">
        <v>2487</v>
      </c>
      <c r="W777" s="2" t="s">
        <v>2488</v>
      </c>
      <c r="X777" s="2" t="s">
        <v>54</v>
      </c>
      <c r="Y777" s="2" t="s">
        <v>2489</v>
      </c>
      <c r="Z777" s="4" t="str">
        <f>HYPERLINK("https://archive.org/details/loselementosdela0000rafa","Abrir enlace")</f>
        <v>Abrir enlace</v>
      </c>
      <c r="AA777" s="2"/>
      <c r="AB777" s="2"/>
      <c r="AC777" s="2"/>
      <c r="AD777" s="2"/>
      <c r="AE777" s="2"/>
    </row>
    <row r="778" ht="15.75" customHeight="1">
      <c r="A778" s="2">
        <v>778.0</v>
      </c>
      <c r="B778" s="2" t="s">
        <v>2490</v>
      </c>
      <c r="C778" s="2"/>
      <c r="D778" s="2" t="s">
        <v>49</v>
      </c>
      <c r="E778" s="2" t="s">
        <v>64</v>
      </c>
      <c r="F778" s="3" t="s">
        <v>35</v>
      </c>
      <c r="G778" s="2"/>
      <c r="H778" s="2" t="s">
        <v>64</v>
      </c>
      <c r="I778" s="2" t="s">
        <v>36</v>
      </c>
      <c r="J778" s="2" t="s">
        <v>37</v>
      </c>
      <c r="K778" s="4" t="str">
        <f>HYPERLINK("https://openlibrary.org/works/OL43894751W","Abrir enlace")</f>
        <v>Abrir enlace</v>
      </c>
      <c r="L778" s="2" t="s">
        <v>2491</v>
      </c>
      <c r="M778" s="2"/>
      <c r="N778" s="2" t="s">
        <v>45</v>
      </c>
      <c r="O778" s="2"/>
      <c r="P778" s="4" t="str">
        <f>HYPERLINK("https://openlibrary.org/works/OL43894751W","Abrir enlace")</f>
        <v>Abrir enlace</v>
      </c>
      <c r="Q778" s="2"/>
      <c r="R778" s="2"/>
      <c r="S778" s="2"/>
      <c r="T778" s="2"/>
      <c r="U778" s="2"/>
      <c r="V778" s="2"/>
      <c r="W778" s="2"/>
      <c r="X778" s="2"/>
      <c r="Y778" s="2"/>
      <c r="Z778" s="2"/>
      <c r="AA778" s="2" t="s">
        <v>40</v>
      </c>
      <c r="AB778" s="2" t="s">
        <v>67</v>
      </c>
      <c r="AC778" s="2"/>
      <c r="AD778" s="2"/>
      <c r="AE778" s="2"/>
    </row>
    <row r="779" ht="15.75" customHeight="1">
      <c r="A779" s="2">
        <v>779.0</v>
      </c>
      <c r="B779" s="2" t="s">
        <v>2492</v>
      </c>
      <c r="C779" s="2"/>
      <c r="D779" s="2" t="s">
        <v>165</v>
      </c>
      <c r="E779" s="2" t="s">
        <v>64</v>
      </c>
      <c r="F779" s="3" t="s">
        <v>35</v>
      </c>
      <c r="G779" s="2"/>
      <c r="H779" s="2" t="s">
        <v>64</v>
      </c>
      <c r="I779" s="2" t="s">
        <v>36</v>
      </c>
      <c r="J779" s="2" t="s">
        <v>2493</v>
      </c>
      <c r="K779" s="4" t="str">
        <f>HYPERLINK("https://archive.org/details/lacasandra00calpgoog","Abrir enlace")</f>
        <v>Abrir enlace</v>
      </c>
      <c r="L779" s="2" t="s">
        <v>2494</v>
      </c>
      <c r="M779" s="2"/>
      <c r="N779" s="2" t="s">
        <v>54</v>
      </c>
      <c r="O779" s="2"/>
      <c r="P779" s="4" t="str">
        <f>HYPERLINK("https://archive.org/details/lacasandra00calpgoog","Abrir enlace")</f>
        <v>Abrir enlace</v>
      </c>
      <c r="Q779" s="2"/>
      <c r="R779" s="2"/>
      <c r="S779" s="2"/>
      <c r="T779" s="2"/>
      <c r="U779" s="2"/>
      <c r="V779" s="2"/>
      <c r="W779" s="2"/>
      <c r="X779" s="2"/>
      <c r="Y779" s="2"/>
      <c r="Z779" s="2"/>
      <c r="AA779" s="2" t="s">
        <v>51</v>
      </c>
      <c r="AB779" s="2" t="s">
        <v>150</v>
      </c>
      <c r="AC779" s="2"/>
      <c r="AD779" s="2"/>
      <c r="AE779" s="2"/>
    </row>
    <row r="780" ht="15.75" customHeight="1">
      <c r="A780" s="2">
        <v>780.0</v>
      </c>
      <c r="B780" s="2" t="s">
        <v>2495</v>
      </c>
      <c r="C780" s="2"/>
      <c r="D780" s="2" t="s">
        <v>33</v>
      </c>
      <c r="E780" s="2" t="s">
        <v>34</v>
      </c>
      <c r="F780" s="2" t="s">
        <v>35</v>
      </c>
      <c r="G780" s="2"/>
      <c r="H780" s="2" t="s">
        <v>34</v>
      </c>
      <c r="I780" s="2" t="s">
        <v>36</v>
      </c>
      <c r="J780" s="2" t="s">
        <v>2496</v>
      </c>
      <c r="K780" s="4" t="str">
        <f>HYPERLINK("https://bibliotecavirtualmadrid.comunidad.madrid/bvmadrid_publicacion/en/consulta/registro.do?id=70002","Abrir enlace")</f>
        <v>Abrir enlace</v>
      </c>
      <c r="L780" s="2" t="s">
        <v>2497</v>
      </c>
      <c r="M780" s="2"/>
      <c r="N780" s="2" t="s">
        <v>91</v>
      </c>
      <c r="O780" s="2" t="s">
        <v>1357</v>
      </c>
      <c r="P780" s="4" t="str">
        <f>HYPERLINK("https://bibliotecavirtualmadrid.comunidad.madrid/bvmadrid_publicacion/en/consulta/registro.do?id=70002","Abrir enlace")</f>
        <v>Abrir enlace</v>
      </c>
      <c r="Q780" s="2" t="s">
        <v>2498</v>
      </c>
      <c r="R780" s="2"/>
      <c r="S780" s="2" t="s">
        <v>91</v>
      </c>
      <c r="T780" s="2" t="s">
        <v>1509</v>
      </c>
      <c r="U780" s="4" t="str">
        <f>HYPERLINK("https://gallica.bnf.fr/ark:/12148/bpt6k858053w.texteImage","Abrir enlace")</f>
        <v>Abrir enlace</v>
      </c>
      <c r="V780" s="2" t="s">
        <v>2499</v>
      </c>
      <c r="W780" s="2"/>
      <c r="X780" s="2" t="s">
        <v>91</v>
      </c>
      <c r="Y780" s="2" t="s">
        <v>2500</v>
      </c>
      <c r="Z780" s="4" t="str">
        <f>HYPERLINK("https://www.whitmorerarebooks.com/pages/books/5087/juvenile/maria-menzikoff-and-fedor-dolgoronki-a-russian-tale-founded-on-fact","Abrir enlace")</f>
        <v>Abrir enlace</v>
      </c>
      <c r="AA780" s="2"/>
      <c r="AB780" s="2"/>
      <c r="AC780" s="2"/>
      <c r="AD780" s="2"/>
      <c r="AE780" s="2"/>
    </row>
    <row r="781" ht="15.75" customHeight="1">
      <c r="A781" s="2">
        <v>781.0</v>
      </c>
      <c r="B781" s="2" t="s">
        <v>2501</v>
      </c>
      <c r="C781" s="2" t="s">
        <v>77</v>
      </c>
      <c r="D781" s="2" t="s">
        <v>33</v>
      </c>
      <c r="E781" s="2" t="s">
        <v>64</v>
      </c>
      <c r="F781" s="2" t="s">
        <v>35</v>
      </c>
      <c r="G781" s="2"/>
      <c r="H781" s="2" t="s">
        <v>64</v>
      </c>
      <c r="I781" s="2" t="s">
        <v>36</v>
      </c>
      <c r="J781" s="2" t="s">
        <v>1979</v>
      </c>
      <c r="K781" s="4" t="str">
        <f>HYPERLINK("https://books.google.com/books/about/Carlos_el_Temerario_Ana_de_Geierstein_o.html?id=QGx4XwAACAAJ","Abrir enlace")</f>
        <v>Abrir enlace</v>
      </c>
      <c r="L781" s="2" t="s">
        <v>2502</v>
      </c>
      <c r="M781" s="2"/>
      <c r="N781" s="2" t="s">
        <v>91</v>
      </c>
      <c r="O781" s="2" t="s">
        <v>2082</v>
      </c>
      <c r="P781" s="4" t="str">
        <f>HYPERLINK("https://books.google.com/books/about/Carlos_el_Temerario_Ana_de_Geierstein_o.html?id=QGx4XwAACAAJ","Abrir enlace")</f>
        <v>Abrir enlace</v>
      </c>
      <c r="Q781" s="2" t="s">
        <v>2503</v>
      </c>
      <c r="R781" s="2"/>
      <c r="S781" s="2" t="s">
        <v>91</v>
      </c>
      <c r="T781" s="2" t="s">
        <v>2504</v>
      </c>
      <c r="U781" s="4" t="str">
        <f>HYPERLINK("https://bibliotecavirtualmadrid.comunidad.madrid/bvmadrid_publicacion/es/consulta/registro.do?id=445639","Abrir enlace")</f>
        <v>Abrir enlace</v>
      </c>
      <c r="V781" s="2" t="s">
        <v>2505</v>
      </c>
      <c r="W781" s="2"/>
      <c r="X781" s="2" t="s">
        <v>91</v>
      </c>
      <c r="Y781" s="2" t="s">
        <v>2058</v>
      </c>
      <c r="Z781" s="4" t="str">
        <f>HYPERLINK("https://librosbaratoslaia.com/producto/walter-scott-carlos-el-temerario/","Abrir enlace")</f>
        <v>Abrir enlace</v>
      </c>
      <c r="AA781" s="2"/>
      <c r="AB781" s="2"/>
      <c r="AC781" s="2"/>
      <c r="AD781" s="2"/>
      <c r="AE781" s="2"/>
    </row>
    <row r="782" ht="15.75" customHeight="1">
      <c r="A782" s="2">
        <v>782.0</v>
      </c>
      <c r="B782" s="2" t="s">
        <v>2501</v>
      </c>
      <c r="C782" s="2" t="s">
        <v>77</v>
      </c>
      <c r="D782" s="2" t="s">
        <v>33</v>
      </c>
      <c r="E782" s="2" t="s">
        <v>64</v>
      </c>
      <c r="F782" s="2" t="s">
        <v>35</v>
      </c>
      <c r="G782" s="2"/>
      <c r="H782" s="2" t="s">
        <v>64</v>
      </c>
      <c r="I782" s="2" t="s">
        <v>36</v>
      </c>
      <c r="J782" s="2" t="s">
        <v>1979</v>
      </c>
      <c r="K782" s="2" t="s">
        <v>757</v>
      </c>
      <c r="L782" s="2" t="s">
        <v>2502</v>
      </c>
      <c r="M782" s="2"/>
      <c r="N782" s="2" t="s">
        <v>91</v>
      </c>
      <c r="O782" s="2" t="s">
        <v>2082</v>
      </c>
      <c r="P782" s="2" t="s">
        <v>757</v>
      </c>
      <c r="Q782" s="2" t="s">
        <v>2503</v>
      </c>
      <c r="R782" s="2"/>
      <c r="S782" s="2" t="s">
        <v>91</v>
      </c>
      <c r="T782" s="2" t="s">
        <v>2504</v>
      </c>
      <c r="U782" s="2" t="s">
        <v>757</v>
      </c>
      <c r="V782" s="2" t="s">
        <v>2505</v>
      </c>
      <c r="W782" s="2"/>
      <c r="X782" s="2" t="s">
        <v>91</v>
      </c>
      <c r="Y782" s="2" t="s">
        <v>2058</v>
      </c>
      <c r="Z782" s="2" t="s">
        <v>757</v>
      </c>
      <c r="AA782" s="2"/>
      <c r="AB782" s="2"/>
      <c r="AC782" s="2"/>
      <c r="AD782" s="2"/>
      <c r="AE782" s="2"/>
    </row>
    <row r="783" ht="15.75" customHeight="1">
      <c r="A783" s="2">
        <v>783.0</v>
      </c>
      <c r="B783" s="2" t="s">
        <v>2506</v>
      </c>
      <c r="C783" s="2"/>
      <c r="D783" s="2" t="s">
        <v>49</v>
      </c>
      <c r="E783" s="2" t="s">
        <v>70</v>
      </c>
      <c r="F783" s="3" t="s">
        <v>35</v>
      </c>
      <c r="G783" s="2"/>
      <c r="H783" s="2" t="s">
        <v>70</v>
      </c>
      <c r="I783" s="2" t="s">
        <v>36</v>
      </c>
      <c r="J783" s="2" t="s">
        <v>37</v>
      </c>
      <c r="K783" s="4" t="str">
        <f>HYPERLINK("https://openlibrary.org/works/OL42758063W","Abrir enlace")</f>
        <v>Abrir enlace</v>
      </c>
      <c r="L783" s="2" t="s">
        <v>2507</v>
      </c>
      <c r="M783" s="2"/>
      <c r="N783" s="2" t="s">
        <v>45</v>
      </c>
      <c r="O783" s="2"/>
      <c r="P783" s="4" t="str">
        <f>HYPERLINK("https://openlibrary.org/works/OL42758063W","Abrir enlace")</f>
        <v>Abrir enlace</v>
      </c>
      <c r="Q783" s="2"/>
      <c r="R783" s="2"/>
      <c r="S783" s="2"/>
      <c r="T783" s="2"/>
      <c r="U783" s="2"/>
      <c r="V783" s="2"/>
      <c r="W783" s="2"/>
      <c r="X783" s="2"/>
      <c r="Y783" s="2"/>
      <c r="Z783" s="2"/>
      <c r="AA783" s="2" t="s">
        <v>46</v>
      </c>
      <c r="AB783" s="2" t="s">
        <v>72</v>
      </c>
      <c r="AC783" s="2"/>
      <c r="AD783" s="2"/>
      <c r="AE783" s="2"/>
    </row>
    <row r="784" ht="15.75" customHeight="1">
      <c r="A784" s="2">
        <v>784.0</v>
      </c>
      <c r="B784" s="2" t="s">
        <v>2508</v>
      </c>
      <c r="C784" s="2" t="s">
        <v>2509</v>
      </c>
      <c r="D784" s="2" t="s">
        <v>33</v>
      </c>
      <c r="E784" s="2" t="s">
        <v>34</v>
      </c>
      <c r="F784" s="3" t="s">
        <v>35</v>
      </c>
      <c r="G784" s="2"/>
      <c r="H784" s="2" t="s">
        <v>34</v>
      </c>
      <c r="I784" s="2" t="s">
        <v>36</v>
      </c>
      <c r="J784" s="2" t="s">
        <v>2510</v>
      </c>
      <c r="K784" s="4" t="str">
        <f>HYPERLINK("https://archive.org/details/A038307174","Abrir enlace")</f>
        <v>Abrir enlace</v>
      </c>
      <c r="L784" s="2" t="s">
        <v>2511</v>
      </c>
      <c r="M784" s="2"/>
      <c r="N784" s="2" t="s">
        <v>54</v>
      </c>
      <c r="O784" s="2"/>
      <c r="P784" s="4" t="str">
        <f>HYPERLINK("https://archive.org/details/A038307174","Abrir enlace")</f>
        <v>Abrir enlace</v>
      </c>
      <c r="Q784" s="2"/>
      <c r="R784" s="2"/>
      <c r="S784" s="2"/>
      <c r="T784" s="2"/>
      <c r="U784" s="2"/>
      <c r="V784" s="2"/>
      <c r="W784" s="2"/>
      <c r="X784" s="2"/>
      <c r="Y784" s="2"/>
      <c r="Z784" s="2"/>
      <c r="AA784" s="2" t="s">
        <v>51</v>
      </c>
      <c r="AB784" s="2" t="s">
        <v>2512</v>
      </c>
      <c r="AC784" s="2"/>
      <c r="AD784" s="2"/>
      <c r="AE784" s="2"/>
    </row>
    <row r="785" ht="15.75" customHeight="1">
      <c r="A785" s="2">
        <v>785.0</v>
      </c>
      <c r="B785" s="2" t="s">
        <v>2513</v>
      </c>
      <c r="C785" s="2" t="s">
        <v>77</v>
      </c>
      <c r="D785" s="2" t="s">
        <v>33</v>
      </c>
      <c r="E785" s="2" t="s">
        <v>64</v>
      </c>
      <c r="F785" s="3" t="s">
        <v>35</v>
      </c>
      <c r="G785" s="2"/>
      <c r="H785" s="2" t="s">
        <v>64</v>
      </c>
      <c r="I785" s="2" t="s">
        <v>36</v>
      </c>
      <c r="J785" s="2" t="s">
        <v>78</v>
      </c>
      <c r="K785" s="4" t="str">
        <f t="shared" ref="K785:K786" si="105">HYPERLINK("https://archive.org/details/robroy0000unse_w3v2","Abrir enlace")</f>
        <v>Abrir enlace</v>
      </c>
      <c r="L785" s="2" t="s">
        <v>502</v>
      </c>
      <c r="M785" s="2"/>
      <c r="N785" s="2" t="s">
        <v>54</v>
      </c>
      <c r="O785" s="2"/>
      <c r="P785" s="4" t="str">
        <f t="shared" ref="P785:P786" si="106">HYPERLINK("https://archive.org/details/robroy0000unse_w3v2","Abrir enlace")</f>
        <v>Abrir enlace</v>
      </c>
      <c r="Q785" s="2"/>
      <c r="R785" s="2"/>
      <c r="S785" s="2"/>
      <c r="T785" s="2"/>
      <c r="U785" s="2"/>
      <c r="V785" s="2"/>
      <c r="W785" s="2"/>
      <c r="X785" s="2"/>
      <c r="Y785" s="2"/>
      <c r="Z785" s="2"/>
      <c r="AA785" s="2" t="s">
        <v>66</v>
      </c>
      <c r="AB785" s="2" t="s">
        <v>80</v>
      </c>
      <c r="AC785" s="2"/>
      <c r="AD785" s="2"/>
      <c r="AE785" s="2"/>
    </row>
    <row r="786" ht="15.75" customHeight="1">
      <c r="A786" s="2">
        <v>786.0</v>
      </c>
      <c r="B786" s="2" t="s">
        <v>2513</v>
      </c>
      <c r="C786" s="2" t="s">
        <v>77</v>
      </c>
      <c r="D786" s="2" t="s">
        <v>33</v>
      </c>
      <c r="E786" s="2" t="s">
        <v>64</v>
      </c>
      <c r="F786" s="3" t="s">
        <v>35</v>
      </c>
      <c r="G786" s="2"/>
      <c r="H786" s="2" t="s">
        <v>64</v>
      </c>
      <c r="I786" s="2" t="s">
        <v>36</v>
      </c>
      <c r="J786" s="2" t="s">
        <v>78</v>
      </c>
      <c r="K786" s="4" t="str">
        <f t="shared" si="105"/>
        <v>Abrir enlace</v>
      </c>
      <c r="L786" s="2" t="s">
        <v>502</v>
      </c>
      <c r="M786" s="2"/>
      <c r="N786" s="2" t="s">
        <v>54</v>
      </c>
      <c r="O786" s="2"/>
      <c r="P786" s="4" t="str">
        <f t="shared" si="106"/>
        <v>Abrir enlace</v>
      </c>
      <c r="Q786" s="2"/>
      <c r="R786" s="2"/>
      <c r="S786" s="2"/>
      <c r="T786" s="2"/>
      <c r="U786" s="2"/>
      <c r="V786" s="2"/>
      <c r="W786" s="2"/>
      <c r="X786" s="2"/>
      <c r="Y786" s="2"/>
      <c r="Z786" s="2"/>
      <c r="AA786" s="2" t="s">
        <v>66</v>
      </c>
      <c r="AB786" s="2" t="s">
        <v>80</v>
      </c>
      <c r="AC786" s="2"/>
      <c r="AD786" s="2"/>
      <c r="AE786" s="2"/>
    </row>
    <row r="787" ht="15.75" customHeight="1">
      <c r="A787" s="2">
        <v>787.0</v>
      </c>
      <c r="B787" s="2" t="s">
        <v>2514</v>
      </c>
      <c r="C787" s="2" t="s">
        <v>2515</v>
      </c>
      <c r="D787" s="2" t="s">
        <v>99</v>
      </c>
      <c r="E787" s="2" t="s">
        <v>112</v>
      </c>
      <c r="F787" s="2" t="s">
        <v>35</v>
      </c>
      <c r="G787" s="2"/>
      <c r="H787" s="2" t="s">
        <v>112</v>
      </c>
      <c r="I787" s="2" t="s">
        <v>36</v>
      </c>
      <c r="J787" s="2" t="s">
        <v>2516</v>
      </c>
      <c r="K787" s="4" t="str">
        <f>HYPERLINK("https://www.worldhistory.org/trans/es/2-1726/la-religion-en-la-america-colonial/","Abrir enlace")</f>
        <v>Abrir enlace</v>
      </c>
      <c r="L787" s="2" t="s">
        <v>2517</v>
      </c>
      <c r="M787" s="2"/>
      <c r="N787" s="2" t="s">
        <v>91</v>
      </c>
      <c r="O787" s="2" t="s">
        <v>964</v>
      </c>
      <c r="P787" s="4" t="str">
        <f>HYPERLINK("https://www.worldhistory.org/trans/es/2-1726/la-religion-en-la-america-colonial/","Abrir enlace")</f>
        <v>Abrir enlace</v>
      </c>
      <c r="Q787" s="2" t="s">
        <v>2518</v>
      </c>
      <c r="R787" s="2"/>
      <c r="S787" s="2" t="s">
        <v>91</v>
      </c>
      <c r="T787" s="2" t="s">
        <v>2519</v>
      </c>
      <c r="U787" s="4" t="str">
        <f>HYPERLINK("https://prezi.com/p/7trdpgrthffd/la-cristiandad-en-tiempos-de-la-colonia/","Abrir enlace")</f>
        <v>Abrir enlace</v>
      </c>
      <c r="V787" s="2" t="s">
        <v>2520</v>
      </c>
      <c r="W787" s="2" t="s">
        <v>2521</v>
      </c>
      <c r="X787" s="2" t="s">
        <v>45</v>
      </c>
      <c r="Y787" s="2" t="s">
        <v>921</v>
      </c>
      <c r="Z787" s="4" t="str">
        <f>HYPERLINK("https://openlibrary.org/works/OL34797715W","Abrir enlace")</f>
        <v>Abrir enlace</v>
      </c>
      <c r="AA787" s="2"/>
      <c r="AB787" s="2"/>
      <c r="AC787" s="2"/>
      <c r="AD787" s="2"/>
      <c r="AE787" s="2"/>
    </row>
    <row r="788" ht="15.75" customHeight="1">
      <c r="A788" s="2">
        <v>788.0</v>
      </c>
      <c r="B788" s="2" t="s">
        <v>2522</v>
      </c>
      <c r="C788" s="2" t="s">
        <v>2523</v>
      </c>
      <c r="D788" s="2" t="s">
        <v>33</v>
      </c>
      <c r="E788" s="2" t="s">
        <v>34</v>
      </c>
      <c r="F788" s="3" t="s">
        <v>35</v>
      </c>
      <c r="G788" s="2"/>
      <c r="H788" s="2" t="s">
        <v>34</v>
      </c>
      <c r="I788" s="2" t="s">
        <v>36</v>
      </c>
      <c r="J788" s="2" t="s">
        <v>37</v>
      </c>
      <c r="K788" s="4" t="str">
        <f>HYPERLINK("https://archive.org/details/ensayo-sobre-las-costumbres-y-el-espiritu-de-las-naciones","Abrir enlace")</f>
        <v>Abrir enlace</v>
      </c>
      <c r="L788" s="2" t="s">
        <v>2524</v>
      </c>
      <c r="M788" s="2"/>
      <c r="N788" s="2" t="s">
        <v>54</v>
      </c>
      <c r="O788" s="2"/>
      <c r="P788" s="4" t="str">
        <f>HYPERLINK("https://archive.org/details/ensayo-sobre-las-costumbres-y-el-espiritu-de-las-naciones","Abrir enlace")</f>
        <v>Abrir enlace</v>
      </c>
      <c r="Q788" s="2"/>
      <c r="R788" s="2"/>
      <c r="S788" s="2"/>
      <c r="T788" s="2"/>
      <c r="U788" s="2"/>
      <c r="V788" s="2"/>
      <c r="W788" s="2"/>
      <c r="X788" s="2"/>
      <c r="Y788" s="2"/>
      <c r="Z788" s="2"/>
      <c r="AA788" s="2" t="s">
        <v>51</v>
      </c>
      <c r="AB788" s="2" t="s">
        <v>41</v>
      </c>
      <c r="AC788" s="2"/>
      <c r="AD788" s="2"/>
      <c r="AE788" s="2"/>
    </row>
    <row r="789" ht="15.75" customHeight="1">
      <c r="A789" s="2">
        <v>789.0</v>
      </c>
      <c r="B789" s="2" t="s">
        <v>2525</v>
      </c>
      <c r="C789" s="2" t="s">
        <v>2526</v>
      </c>
      <c r="D789" s="2" t="s">
        <v>33</v>
      </c>
      <c r="E789" s="2" t="s">
        <v>64</v>
      </c>
      <c r="F789" s="3" t="s">
        <v>35</v>
      </c>
      <c r="G789" s="2"/>
      <c r="H789" s="2" t="s">
        <v>64</v>
      </c>
      <c r="I789" s="2" t="s">
        <v>36</v>
      </c>
      <c r="J789" s="2" t="s">
        <v>905</v>
      </c>
      <c r="K789" s="4" t="str">
        <f>HYPERLINK("https://archive.org/details/aventurasdegilb01monfgoog","Abrir enlace")</f>
        <v>Abrir enlace</v>
      </c>
      <c r="L789" s="2" t="s">
        <v>2525</v>
      </c>
      <c r="M789" s="2"/>
      <c r="N789" s="2" t="s">
        <v>54</v>
      </c>
      <c r="O789" s="2"/>
      <c r="P789" s="4" t="str">
        <f>HYPERLINK("https://archive.org/details/aventurasdegilb01monfgoog","Abrir enlace")</f>
        <v>Abrir enlace</v>
      </c>
      <c r="Q789" s="2"/>
      <c r="R789" s="2"/>
      <c r="S789" s="2"/>
      <c r="T789" s="2"/>
      <c r="U789" s="2"/>
      <c r="V789" s="2"/>
      <c r="W789" s="2"/>
      <c r="X789" s="2"/>
      <c r="Y789" s="2"/>
      <c r="Z789" s="2"/>
      <c r="AA789" s="2" t="s">
        <v>51</v>
      </c>
      <c r="AB789" s="2" t="s">
        <v>150</v>
      </c>
      <c r="AC789" s="2"/>
      <c r="AD789" s="2"/>
      <c r="AE789" s="2"/>
    </row>
    <row r="790" ht="15.75" customHeight="1">
      <c r="A790" s="2">
        <v>790.0</v>
      </c>
      <c r="B790" s="2" t="s">
        <v>2527</v>
      </c>
      <c r="C790" s="2" t="s">
        <v>77</v>
      </c>
      <c r="D790" s="2" t="s">
        <v>33</v>
      </c>
      <c r="E790" s="2" t="s">
        <v>64</v>
      </c>
      <c r="F790" s="3" t="s">
        <v>35</v>
      </c>
      <c r="G790" s="2"/>
      <c r="H790" s="2" t="s">
        <v>64</v>
      </c>
      <c r="I790" s="2" t="s">
        <v>36</v>
      </c>
      <c r="J790" s="2" t="s">
        <v>78</v>
      </c>
      <c r="K790" s="4" t="str">
        <f>HYPERLINK("https://openlibrary.org/works/OL37675996W","Abrir enlace")</f>
        <v>Abrir enlace</v>
      </c>
      <c r="L790" s="2" t="s">
        <v>2528</v>
      </c>
      <c r="M790" s="2"/>
      <c r="N790" s="2" t="s">
        <v>45</v>
      </c>
      <c r="O790" s="2"/>
      <c r="P790" s="4" t="str">
        <f>HYPERLINK("https://openlibrary.org/works/OL37675996W","Abrir enlace")</f>
        <v>Abrir enlace</v>
      </c>
      <c r="Q790" s="2"/>
      <c r="R790" s="2"/>
      <c r="S790" s="2"/>
      <c r="T790" s="2"/>
      <c r="U790" s="2"/>
      <c r="V790" s="2"/>
      <c r="W790" s="2"/>
      <c r="X790" s="2"/>
      <c r="Y790" s="2"/>
      <c r="Z790" s="2"/>
      <c r="AA790" s="2" t="s">
        <v>51</v>
      </c>
      <c r="AB790" s="2" t="s">
        <v>80</v>
      </c>
      <c r="AC790" s="2"/>
      <c r="AD790" s="2"/>
      <c r="AE790" s="2"/>
    </row>
    <row r="791" ht="15.75" customHeight="1">
      <c r="A791" s="2">
        <v>791.0</v>
      </c>
      <c r="B791" s="2" t="s">
        <v>2529</v>
      </c>
      <c r="C791" s="2"/>
      <c r="D791" s="2" t="s">
        <v>49</v>
      </c>
      <c r="E791" s="2" t="s">
        <v>34</v>
      </c>
      <c r="F791" s="3" t="s">
        <v>35</v>
      </c>
      <c r="G791" s="2"/>
      <c r="H791" s="2" t="s">
        <v>34</v>
      </c>
      <c r="I791" s="2" t="s">
        <v>36</v>
      </c>
      <c r="J791" s="2" t="s">
        <v>2530</v>
      </c>
      <c r="K791" s="4" t="str">
        <f>HYPERLINK("https://archive.org/details/A250024","Abrir enlace")</f>
        <v>Abrir enlace</v>
      </c>
      <c r="L791" s="2" t="s">
        <v>2531</v>
      </c>
      <c r="M791" s="2"/>
      <c r="N791" s="2" t="s">
        <v>54</v>
      </c>
      <c r="O791" s="2"/>
      <c r="P791" s="4" t="str">
        <f>HYPERLINK("https://archive.org/details/A250024","Abrir enlace")</f>
        <v>Abrir enlace</v>
      </c>
      <c r="Q791" s="2"/>
      <c r="R791" s="2"/>
      <c r="S791" s="2"/>
      <c r="T791" s="2"/>
      <c r="U791" s="2"/>
      <c r="V791" s="2"/>
      <c r="W791" s="2"/>
      <c r="X791" s="2"/>
      <c r="Y791" s="2"/>
      <c r="Z791" s="2"/>
      <c r="AA791" s="2" t="s">
        <v>51</v>
      </c>
      <c r="AB791" s="2" t="s">
        <v>2532</v>
      </c>
      <c r="AC791" s="2"/>
      <c r="AD791" s="2"/>
      <c r="AE791" s="2"/>
    </row>
    <row r="792" ht="15.75" customHeight="1">
      <c r="A792" s="2">
        <v>792.0</v>
      </c>
      <c r="B792" s="2" t="s">
        <v>2533</v>
      </c>
      <c r="C792" s="2" t="s">
        <v>2534</v>
      </c>
      <c r="D792" s="2" t="s">
        <v>33</v>
      </c>
      <c r="E792" s="2" t="s">
        <v>64</v>
      </c>
      <c r="F792" s="3" t="s">
        <v>35</v>
      </c>
      <c r="G792" s="2"/>
      <c r="H792" s="2" t="s">
        <v>64</v>
      </c>
      <c r="I792" s="2" t="s">
        <v>36</v>
      </c>
      <c r="J792" s="2" t="s">
        <v>2535</v>
      </c>
      <c r="K792" s="4" t="str">
        <f>HYPERLINK("https://openlibrary.org/works/OL10606698W","Abrir enlace")</f>
        <v>Abrir enlace</v>
      </c>
      <c r="L792" s="2" t="s">
        <v>2536</v>
      </c>
      <c r="M792" s="2"/>
      <c r="N792" s="2" t="s">
        <v>45</v>
      </c>
      <c r="O792" s="2"/>
      <c r="P792" s="4" t="str">
        <f>HYPERLINK("https://openlibrary.org/works/OL10606698W","Abrir enlace")</f>
        <v>Abrir enlace</v>
      </c>
      <c r="Q792" s="2"/>
      <c r="R792" s="2"/>
      <c r="S792" s="2"/>
      <c r="T792" s="2"/>
      <c r="U792" s="2"/>
      <c r="V792" s="2"/>
      <c r="W792" s="2"/>
      <c r="X792" s="2"/>
      <c r="Y792" s="2"/>
      <c r="Z792" s="2"/>
      <c r="AA792" s="2" t="s">
        <v>40</v>
      </c>
      <c r="AB792" s="2" t="s">
        <v>2537</v>
      </c>
      <c r="AC792" s="2"/>
      <c r="AD792" s="2"/>
      <c r="AE792" s="2"/>
    </row>
    <row r="793" ht="15.75" customHeight="1">
      <c r="A793" s="2">
        <v>793.0</v>
      </c>
      <c r="B793" s="2" t="s">
        <v>2538</v>
      </c>
      <c r="C793" s="2"/>
      <c r="D793" s="2" t="s">
        <v>33</v>
      </c>
      <c r="E793" s="2" t="s">
        <v>64</v>
      </c>
      <c r="F793" s="2" t="s">
        <v>35</v>
      </c>
      <c r="G793" s="2"/>
      <c r="H793" s="2" t="s">
        <v>64</v>
      </c>
      <c r="I793" s="2" t="s">
        <v>36</v>
      </c>
      <c r="J793" s="2" t="s">
        <v>2539</v>
      </c>
      <c r="K793" s="4" t="str">
        <f>HYPERLINK("https://openlibrary.org/works/OL37642588W","Abrir enlace")</f>
        <v>Abrir enlace</v>
      </c>
      <c r="L793" s="2" t="s">
        <v>2540</v>
      </c>
      <c r="M793" s="2" t="s">
        <v>2541</v>
      </c>
      <c r="N793" s="2" t="s">
        <v>45</v>
      </c>
      <c r="O793" s="2" t="s">
        <v>2542</v>
      </c>
      <c r="P793" s="4" t="str">
        <f>HYPERLINK("https://openlibrary.org/works/OL37642588W","Abrir enlace")</f>
        <v>Abrir enlace</v>
      </c>
      <c r="Q793" s="2" t="s">
        <v>2543</v>
      </c>
      <c r="R793" s="2"/>
      <c r="S793" s="2" t="s">
        <v>91</v>
      </c>
      <c r="T793" s="2" t="s">
        <v>2544</v>
      </c>
      <c r="U793" s="4" t="str">
        <f>HYPERLINK("https://www.cervantesvirtual.com/descargaPdf/ediciones-perpinanesas-de-walter-scott-en-castellano-1824-1826/","Abrir enlace")</f>
        <v>Abrir enlace</v>
      </c>
      <c r="V793" s="2" t="s">
        <v>2545</v>
      </c>
      <c r="W793" s="2" t="s">
        <v>2546</v>
      </c>
      <c r="X793" s="2" t="s">
        <v>54</v>
      </c>
      <c r="Y793" s="2" t="s">
        <v>2547</v>
      </c>
      <c r="Z793" s="4" t="str">
        <f>HYPERLINK("https://archive.org/details/elhoyomisterioso0000lluc","Abrir enlace")</f>
        <v>Abrir enlace</v>
      </c>
      <c r="AA793" s="2"/>
      <c r="AB793" s="2"/>
      <c r="AC793" s="2"/>
      <c r="AD793" s="2"/>
      <c r="AE793" s="2"/>
    </row>
    <row r="794" ht="15.75" customHeight="1">
      <c r="A794" s="2">
        <v>794.0</v>
      </c>
      <c r="B794" s="2" t="s">
        <v>2538</v>
      </c>
      <c r="C794" s="2"/>
      <c r="D794" s="2" t="s">
        <v>33</v>
      </c>
      <c r="E794" s="2" t="s">
        <v>64</v>
      </c>
      <c r="F794" s="2" t="s">
        <v>35</v>
      </c>
      <c r="G794" s="2"/>
      <c r="H794" s="2" t="s">
        <v>64</v>
      </c>
      <c r="I794" s="2" t="s">
        <v>36</v>
      </c>
      <c r="J794" s="2" t="s">
        <v>2539</v>
      </c>
      <c r="K794" s="2" t="s">
        <v>757</v>
      </c>
      <c r="L794" s="2" t="s">
        <v>2540</v>
      </c>
      <c r="M794" s="2" t="s">
        <v>2541</v>
      </c>
      <c r="N794" s="2" t="s">
        <v>45</v>
      </c>
      <c r="O794" s="2" t="s">
        <v>2542</v>
      </c>
      <c r="P794" s="2" t="s">
        <v>757</v>
      </c>
      <c r="Q794" s="2" t="s">
        <v>2543</v>
      </c>
      <c r="R794" s="2"/>
      <c r="S794" s="2" t="s">
        <v>91</v>
      </c>
      <c r="T794" s="2" t="s">
        <v>2544</v>
      </c>
      <c r="U794" s="2" t="s">
        <v>757</v>
      </c>
      <c r="V794" s="2" t="s">
        <v>2545</v>
      </c>
      <c r="W794" s="2" t="s">
        <v>2546</v>
      </c>
      <c r="X794" s="2" t="s">
        <v>54</v>
      </c>
      <c r="Y794" s="2" t="s">
        <v>2547</v>
      </c>
      <c r="Z794" s="2" t="s">
        <v>757</v>
      </c>
      <c r="AA794" s="2"/>
      <c r="AB794" s="2"/>
      <c r="AC794" s="2"/>
      <c r="AD794" s="2"/>
      <c r="AE794" s="2"/>
    </row>
    <row r="795" ht="15.75" customHeight="1">
      <c r="A795" s="2">
        <v>795.0</v>
      </c>
      <c r="B795" s="2" t="s">
        <v>2548</v>
      </c>
      <c r="C795" s="2"/>
      <c r="D795" s="2" t="s">
        <v>33</v>
      </c>
      <c r="E795" s="2" t="s">
        <v>64</v>
      </c>
      <c r="F795" s="2" t="s">
        <v>35</v>
      </c>
      <c r="G795" s="2"/>
      <c r="H795" s="2" t="s">
        <v>64</v>
      </c>
      <c r="I795" s="2" t="s">
        <v>36</v>
      </c>
      <c r="J795" s="2" t="s">
        <v>2549</v>
      </c>
      <c r="K795" s="4" t="str">
        <f>HYPERLINK("https://books.google.com/books/about/La_nueva_clarisa_historia_verdadera.html?id=G_uTJ3XQKhgC","Abrir enlace")</f>
        <v>Abrir enlace</v>
      </c>
      <c r="L795" s="2" t="s">
        <v>2550</v>
      </c>
      <c r="M795" s="2"/>
      <c r="N795" s="2" t="s">
        <v>91</v>
      </c>
      <c r="O795" s="2" t="s">
        <v>1349</v>
      </c>
      <c r="P795" s="4" t="str">
        <f>HYPERLINK("https://books.google.com/books/about/La_nueva_clarisa_historia_verdadera.html?id=G_uTJ3XQKhgC","Abrir enlace")</f>
        <v>Abrir enlace</v>
      </c>
      <c r="Q795" s="2" t="s">
        <v>2551</v>
      </c>
      <c r="R795" s="2" t="s">
        <v>2552</v>
      </c>
      <c r="S795" s="2" t="s">
        <v>54</v>
      </c>
      <c r="T795" s="2" t="s">
        <v>2553</v>
      </c>
      <c r="U795" s="4" t="str">
        <f>HYPERLINK("https://archive.org/details/bwb_C0-CEI-223","Abrir enlace")</f>
        <v>Abrir enlace</v>
      </c>
      <c r="V795" s="2" t="s">
        <v>2554</v>
      </c>
      <c r="W795" s="2" t="s">
        <v>2555</v>
      </c>
      <c r="X795" s="2" t="s">
        <v>54</v>
      </c>
      <c r="Y795" s="2" t="s">
        <v>2556</v>
      </c>
      <c r="Z795" s="4" t="str">
        <f>HYPERLINK("https://archive.org/details/maailmantaiteenh0000ehgo","Abrir enlace")</f>
        <v>Abrir enlace</v>
      </c>
      <c r="AA795" s="2"/>
      <c r="AB795" s="2"/>
      <c r="AC795" s="2"/>
      <c r="AD795" s="2"/>
      <c r="AE795" s="2"/>
    </row>
    <row r="796" ht="15.75" customHeight="1">
      <c r="A796" s="2">
        <v>796.0</v>
      </c>
      <c r="B796" s="2" t="s">
        <v>2557</v>
      </c>
      <c r="C796" s="2"/>
      <c r="D796" s="2" t="s">
        <v>33</v>
      </c>
      <c r="E796" s="2" t="s">
        <v>64</v>
      </c>
      <c r="F796" s="3" t="s">
        <v>35</v>
      </c>
      <c r="G796" s="2"/>
      <c r="H796" s="2" t="s">
        <v>64</v>
      </c>
      <c r="I796" s="2" t="s">
        <v>36</v>
      </c>
      <c r="J796" s="2" t="s">
        <v>37</v>
      </c>
      <c r="K796" s="4" t="str">
        <f t="shared" ref="K796:K800" si="107">HYPERLINK("https://openlibrary.org/works/OL28471877W","Abrir enlace")</f>
        <v>Abrir enlace</v>
      </c>
      <c r="L796" s="2" t="s">
        <v>2558</v>
      </c>
      <c r="M796" s="2"/>
      <c r="N796" s="2" t="s">
        <v>45</v>
      </c>
      <c r="O796" s="2"/>
      <c r="P796" s="4" t="str">
        <f t="shared" ref="P796:P800" si="108">HYPERLINK("https://openlibrary.org/works/OL28471877W","Abrir enlace")</f>
        <v>Abrir enlace</v>
      </c>
      <c r="Q796" s="2"/>
      <c r="R796" s="2"/>
      <c r="S796" s="2"/>
      <c r="T796" s="2"/>
      <c r="U796" s="2"/>
      <c r="V796" s="2"/>
      <c r="W796" s="2"/>
      <c r="X796" s="2"/>
      <c r="Y796" s="2"/>
      <c r="Z796" s="2"/>
      <c r="AA796" s="2" t="s">
        <v>2559</v>
      </c>
      <c r="AB796" s="2" t="s">
        <v>67</v>
      </c>
      <c r="AC796" s="2"/>
      <c r="AD796" s="2"/>
      <c r="AE796" s="2"/>
    </row>
    <row r="797" ht="15.75" customHeight="1">
      <c r="A797" s="2">
        <v>797.0</v>
      </c>
      <c r="B797" s="2" t="s">
        <v>2557</v>
      </c>
      <c r="C797" s="2"/>
      <c r="D797" s="2" t="s">
        <v>33</v>
      </c>
      <c r="E797" s="2" t="s">
        <v>64</v>
      </c>
      <c r="F797" s="3" t="s">
        <v>35</v>
      </c>
      <c r="G797" s="2"/>
      <c r="H797" s="2" t="s">
        <v>64</v>
      </c>
      <c r="I797" s="2" t="s">
        <v>36</v>
      </c>
      <c r="J797" s="2" t="s">
        <v>37</v>
      </c>
      <c r="K797" s="4" t="str">
        <f t="shared" si="107"/>
        <v>Abrir enlace</v>
      </c>
      <c r="L797" s="2" t="s">
        <v>2558</v>
      </c>
      <c r="M797" s="2"/>
      <c r="N797" s="2" t="s">
        <v>45</v>
      </c>
      <c r="O797" s="2"/>
      <c r="P797" s="4" t="str">
        <f t="shared" si="108"/>
        <v>Abrir enlace</v>
      </c>
      <c r="Q797" s="2"/>
      <c r="R797" s="2"/>
      <c r="S797" s="2"/>
      <c r="T797" s="2"/>
      <c r="U797" s="2"/>
      <c r="V797" s="2"/>
      <c r="W797" s="2"/>
      <c r="X797" s="2"/>
      <c r="Y797" s="2"/>
      <c r="Z797" s="2"/>
      <c r="AA797" s="2" t="s">
        <v>2559</v>
      </c>
      <c r="AB797" s="2" t="s">
        <v>67</v>
      </c>
      <c r="AC797" s="2"/>
      <c r="AD797" s="2"/>
      <c r="AE797" s="2"/>
    </row>
    <row r="798" ht="15.75" customHeight="1">
      <c r="A798" s="2">
        <v>798.0</v>
      </c>
      <c r="B798" s="2" t="s">
        <v>2557</v>
      </c>
      <c r="C798" s="2"/>
      <c r="D798" s="2" t="s">
        <v>33</v>
      </c>
      <c r="E798" s="2" t="s">
        <v>64</v>
      </c>
      <c r="F798" s="3" t="s">
        <v>35</v>
      </c>
      <c r="G798" s="2"/>
      <c r="H798" s="2" t="s">
        <v>64</v>
      </c>
      <c r="I798" s="2" t="s">
        <v>36</v>
      </c>
      <c r="J798" s="2" t="s">
        <v>37</v>
      </c>
      <c r="K798" s="4" t="str">
        <f t="shared" si="107"/>
        <v>Abrir enlace</v>
      </c>
      <c r="L798" s="2" t="s">
        <v>2558</v>
      </c>
      <c r="M798" s="2"/>
      <c r="N798" s="2" t="s">
        <v>45</v>
      </c>
      <c r="O798" s="2"/>
      <c r="P798" s="4" t="str">
        <f t="shared" si="108"/>
        <v>Abrir enlace</v>
      </c>
      <c r="Q798" s="2"/>
      <c r="R798" s="2"/>
      <c r="S798" s="2"/>
      <c r="T798" s="2"/>
      <c r="U798" s="2"/>
      <c r="V798" s="2"/>
      <c r="W798" s="2"/>
      <c r="X798" s="2"/>
      <c r="Y798" s="2"/>
      <c r="Z798" s="2"/>
      <c r="AA798" s="2" t="s">
        <v>2559</v>
      </c>
      <c r="AB798" s="2" t="s">
        <v>67</v>
      </c>
      <c r="AC798" s="2"/>
      <c r="AD798" s="2"/>
      <c r="AE798" s="2"/>
    </row>
    <row r="799" ht="15.75" customHeight="1">
      <c r="A799" s="2">
        <v>799.0</v>
      </c>
      <c r="B799" s="2" t="s">
        <v>2557</v>
      </c>
      <c r="C799" s="2"/>
      <c r="D799" s="2" t="s">
        <v>33</v>
      </c>
      <c r="E799" s="2" t="s">
        <v>64</v>
      </c>
      <c r="F799" s="3" t="s">
        <v>35</v>
      </c>
      <c r="G799" s="2"/>
      <c r="H799" s="2" t="s">
        <v>64</v>
      </c>
      <c r="I799" s="2" t="s">
        <v>36</v>
      </c>
      <c r="J799" s="2" t="s">
        <v>37</v>
      </c>
      <c r="K799" s="4" t="str">
        <f t="shared" si="107"/>
        <v>Abrir enlace</v>
      </c>
      <c r="L799" s="2" t="s">
        <v>2558</v>
      </c>
      <c r="M799" s="2"/>
      <c r="N799" s="2" t="s">
        <v>45</v>
      </c>
      <c r="O799" s="2"/>
      <c r="P799" s="4" t="str">
        <f t="shared" si="108"/>
        <v>Abrir enlace</v>
      </c>
      <c r="Q799" s="2"/>
      <c r="R799" s="2"/>
      <c r="S799" s="2"/>
      <c r="T799" s="2"/>
      <c r="U799" s="2"/>
      <c r="V799" s="2"/>
      <c r="W799" s="2"/>
      <c r="X799" s="2"/>
      <c r="Y799" s="2"/>
      <c r="Z799" s="2"/>
      <c r="AA799" s="2" t="s">
        <v>2559</v>
      </c>
      <c r="AB799" s="2" t="s">
        <v>67</v>
      </c>
      <c r="AC799" s="2"/>
      <c r="AD799" s="2"/>
      <c r="AE799" s="2"/>
    </row>
    <row r="800" ht="15.75" customHeight="1">
      <c r="A800" s="2">
        <v>800.0</v>
      </c>
      <c r="B800" s="2" t="s">
        <v>2557</v>
      </c>
      <c r="C800" s="2"/>
      <c r="D800" s="2" t="s">
        <v>33</v>
      </c>
      <c r="E800" s="2" t="s">
        <v>64</v>
      </c>
      <c r="F800" s="3" t="s">
        <v>35</v>
      </c>
      <c r="G800" s="2"/>
      <c r="H800" s="2" t="s">
        <v>64</v>
      </c>
      <c r="I800" s="2" t="s">
        <v>36</v>
      </c>
      <c r="J800" s="2" t="s">
        <v>37</v>
      </c>
      <c r="K800" s="4" t="str">
        <f t="shared" si="107"/>
        <v>Abrir enlace</v>
      </c>
      <c r="L800" s="2" t="s">
        <v>2558</v>
      </c>
      <c r="M800" s="2"/>
      <c r="N800" s="2" t="s">
        <v>45</v>
      </c>
      <c r="O800" s="2"/>
      <c r="P800" s="4" t="str">
        <f t="shared" si="108"/>
        <v>Abrir enlace</v>
      </c>
      <c r="Q800" s="2"/>
      <c r="R800" s="2"/>
      <c r="S800" s="2"/>
      <c r="T800" s="2"/>
      <c r="U800" s="2"/>
      <c r="V800" s="2"/>
      <c r="W800" s="2"/>
      <c r="X800" s="2"/>
      <c r="Y800" s="2"/>
      <c r="Z800" s="2"/>
      <c r="AA800" s="2" t="s">
        <v>2559</v>
      </c>
      <c r="AB800" s="2" t="s">
        <v>67</v>
      </c>
      <c r="AC800" s="2"/>
      <c r="AD800" s="2"/>
      <c r="AE800" s="2"/>
    </row>
    <row r="801" ht="15.75" customHeight="1">
      <c r="A801" s="2">
        <v>801.0</v>
      </c>
      <c r="B801" s="2" t="s">
        <v>2560</v>
      </c>
      <c r="C801" s="2" t="s">
        <v>2561</v>
      </c>
      <c r="D801" s="2" t="s">
        <v>33</v>
      </c>
      <c r="E801" s="2" t="s">
        <v>188</v>
      </c>
      <c r="F801" s="3" t="s">
        <v>35</v>
      </c>
      <c r="G801" s="2"/>
      <c r="H801" s="2" t="s">
        <v>188</v>
      </c>
      <c r="I801" s="2" t="s">
        <v>36</v>
      </c>
      <c r="J801" s="2" t="s">
        <v>2562</v>
      </c>
      <c r="K801" s="4" t="str">
        <f>HYPERLINK("https://openlibrary.org/works/OL37675125W","Abrir enlace")</f>
        <v>Abrir enlace</v>
      </c>
      <c r="L801" s="2" t="s">
        <v>2563</v>
      </c>
      <c r="M801" s="2"/>
      <c r="N801" s="2" t="s">
        <v>45</v>
      </c>
      <c r="O801" s="2"/>
      <c r="P801" s="4" t="str">
        <f>HYPERLINK("https://openlibrary.org/works/OL37675125W","Abrir enlace")</f>
        <v>Abrir enlace</v>
      </c>
      <c r="Q801" s="2"/>
      <c r="R801" s="2"/>
      <c r="S801" s="2"/>
      <c r="T801" s="2"/>
      <c r="U801" s="2"/>
      <c r="V801" s="2"/>
      <c r="W801" s="2"/>
      <c r="X801" s="2"/>
      <c r="Y801" s="2"/>
      <c r="Z801" s="2"/>
      <c r="AA801" s="2" t="s">
        <v>51</v>
      </c>
      <c r="AB801" s="2" t="s">
        <v>2564</v>
      </c>
      <c r="AC801" s="2"/>
      <c r="AD801" s="2"/>
      <c r="AE801" s="2"/>
    </row>
    <row r="802" ht="15.75" customHeight="1">
      <c r="A802" s="2">
        <v>802.0</v>
      </c>
      <c r="B802" s="2" t="s">
        <v>2565</v>
      </c>
      <c r="C802" s="2" t="s">
        <v>2566</v>
      </c>
      <c r="D802" s="2" t="s">
        <v>33</v>
      </c>
      <c r="E802" s="2" t="s">
        <v>34</v>
      </c>
      <c r="F802" s="3" t="s">
        <v>35</v>
      </c>
      <c r="G802" s="2"/>
      <c r="H802" s="2" t="s">
        <v>34</v>
      </c>
      <c r="I802" s="2" t="s">
        <v>36</v>
      </c>
      <c r="J802" s="2" t="s">
        <v>37</v>
      </c>
      <c r="K802" s="4" t="str">
        <f t="shared" ref="K802:K805" si="109">HYPERLINK("https://openlibrary.org/works/OL13720543W","Abrir enlace")</f>
        <v>Abrir enlace</v>
      </c>
      <c r="L802" s="2" t="s">
        <v>2567</v>
      </c>
      <c r="M802" s="2"/>
      <c r="N802" s="2" t="s">
        <v>45</v>
      </c>
      <c r="O802" s="2"/>
      <c r="P802" s="4" t="str">
        <f t="shared" ref="P802:P805" si="110">HYPERLINK("https://openlibrary.org/works/OL13720543W","Abrir enlace")</f>
        <v>Abrir enlace</v>
      </c>
      <c r="Q802" s="2"/>
      <c r="R802" s="2"/>
      <c r="S802" s="2"/>
      <c r="T802" s="2"/>
      <c r="U802" s="2"/>
      <c r="V802" s="2"/>
      <c r="W802" s="2"/>
      <c r="X802" s="2"/>
      <c r="Y802" s="2"/>
      <c r="Z802" s="2"/>
      <c r="AA802" s="2" t="s">
        <v>51</v>
      </c>
      <c r="AB802" s="2" t="s">
        <v>41</v>
      </c>
      <c r="AC802" s="2"/>
      <c r="AD802" s="2"/>
      <c r="AE802" s="2"/>
    </row>
    <row r="803" ht="15.75" customHeight="1">
      <c r="A803" s="2">
        <v>803.0</v>
      </c>
      <c r="B803" s="2" t="s">
        <v>2565</v>
      </c>
      <c r="C803" s="2" t="s">
        <v>2566</v>
      </c>
      <c r="D803" s="2" t="s">
        <v>33</v>
      </c>
      <c r="E803" s="2" t="s">
        <v>34</v>
      </c>
      <c r="F803" s="3" t="s">
        <v>35</v>
      </c>
      <c r="G803" s="2"/>
      <c r="H803" s="2" t="s">
        <v>34</v>
      </c>
      <c r="I803" s="2" t="s">
        <v>36</v>
      </c>
      <c r="J803" s="2" t="s">
        <v>37</v>
      </c>
      <c r="K803" s="4" t="str">
        <f t="shared" si="109"/>
        <v>Abrir enlace</v>
      </c>
      <c r="L803" s="2" t="s">
        <v>2567</v>
      </c>
      <c r="M803" s="2"/>
      <c r="N803" s="2" t="s">
        <v>45</v>
      </c>
      <c r="O803" s="2"/>
      <c r="P803" s="4" t="str">
        <f t="shared" si="110"/>
        <v>Abrir enlace</v>
      </c>
      <c r="Q803" s="2"/>
      <c r="R803" s="2"/>
      <c r="S803" s="2"/>
      <c r="T803" s="2"/>
      <c r="U803" s="2"/>
      <c r="V803" s="2"/>
      <c r="W803" s="2"/>
      <c r="X803" s="2"/>
      <c r="Y803" s="2"/>
      <c r="Z803" s="2"/>
      <c r="AA803" s="2" t="s">
        <v>51</v>
      </c>
      <c r="AB803" s="2" t="s">
        <v>41</v>
      </c>
      <c r="AC803" s="2"/>
      <c r="AD803" s="2"/>
      <c r="AE803" s="2"/>
    </row>
    <row r="804" ht="15.75" customHeight="1">
      <c r="A804" s="2">
        <v>804.0</v>
      </c>
      <c r="B804" s="2" t="s">
        <v>2565</v>
      </c>
      <c r="C804" s="2" t="s">
        <v>2566</v>
      </c>
      <c r="D804" s="2" t="s">
        <v>33</v>
      </c>
      <c r="E804" s="2" t="s">
        <v>34</v>
      </c>
      <c r="F804" s="3" t="s">
        <v>35</v>
      </c>
      <c r="G804" s="2"/>
      <c r="H804" s="2" t="s">
        <v>34</v>
      </c>
      <c r="I804" s="2" t="s">
        <v>36</v>
      </c>
      <c r="J804" s="2" t="s">
        <v>37</v>
      </c>
      <c r="K804" s="4" t="str">
        <f t="shared" si="109"/>
        <v>Abrir enlace</v>
      </c>
      <c r="L804" s="2" t="s">
        <v>2567</v>
      </c>
      <c r="M804" s="2"/>
      <c r="N804" s="2" t="s">
        <v>45</v>
      </c>
      <c r="O804" s="2"/>
      <c r="P804" s="4" t="str">
        <f t="shared" si="110"/>
        <v>Abrir enlace</v>
      </c>
      <c r="Q804" s="2"/>
      <c r="R804" s="2"/>
      <c r="S804" s="2"/>
      <c r="T804" s="2"/>
      <c r="U804" s="2"/>
      <c r="V804" s="2"/>
      <c r="W804" s="2"/>
      <c r="X804" s="2"/>
      <c r="Y804" s="2"/>
      <c r="Z804" s="2"/>
      <c r="AA804" s="2" t="s">
        <v>51</v>
      </c>
      <c r="AB804" s="2" t="s">
        <v>41</v>
      </c>
      <c r="AC804" s="2"/>
      <c r="AD804" s="2"/>
      <c r="AE804" s="2"/>
    </row>
    <row r="805" ht="15.75" customHeight="1">
      <c r="A805" s="2">
        <v>805.0</v>
      </c>
      <c r="B805" s="2" t="s">
        <v>2565</v>
      </c>
      <c r="C805" s="2" t="s">
        <v>2566</v>
      </c>
      <c r="D805" s="2" t="s">
        <v>33</v>
      </c>
      <c r="E805" s="2" t="s">
        <v>34</v>
      </c>
      <c r="F805" s="3" t="s">
        <v>35</v>
      </c>
      <c r="G805" s="2"/>
      <c r="H805" s="2" t="s">
        <v>34</v>
      </c>
      <c r="I805" s="2" t="s">
        <v>36</v>
      </c>
      <c r="J805" s="2" t="s">
        <v>37</v>
      </c>
      <c r="K805" s="4" t="str">
        <f t="shared" si="109"/>
        <v>Abrir enlace</v>
      </c>
      <c r="L805" s="2" t="s">
        <v>2567</v>
      </c>
      <c r="M805" s="2"/>
      <c r="N805" s="2" t="s">
        <v>45</v>
      </c>
      <c r="O805" s="2"/>
      <c r="P805" s="4" t="str">
        <f t="shared" si="110"/>
        <v>Abrir enlace</v>
      </c>
      <c r="Q805" s="2"/>
      <c r="R805" s="2"/>
      <c r="S805" s="2"/>
      <c r="T805" s="2"/>
      <c r="U805" s="2"/>
      <c r="V805" s="2"/>
      <c r="W805" s="2"/>
      <c r="X805" s="2"/>
      <c r="Y805" s="2"/>
      <c r="Z805" s="2"/>
      <c r="AA805" s="2" t="s">
        <v>51</v>
      </c>
      <c r="AB805" s="2" t="s">
        <v>41</v>
      </c>
      <c r="AC805" s="2"/>
      <c r="AD805" s="2"/>
      <c r="AE805" s="2"/>
    </row>
    <row r="806" ht="15.75" customHeight="1">
      <c r="A806" s="2">
        <v>806.0</v>
      </c>
      <c r="B806" s="2" t="s">
        <v>2568</v>
      </c>
      <c r="C806" s="2" t="s">
        <v>2569</v>
      </c>
      <c r="D806" s="2" t="s">
        <v>33</v>
      </c>
      <c r="E806" s="2" t="s">
        <v>64</v>
      </c>
      <c r="F806" s="3" t="s">
        <v>35</v>
      </c>
      <c r="G806" s="2"/>
      <c r="H806" s="2" t="s">
        <v>64</v>
      </c>
      <c r="I806" s="2" t="s">
        <v>36</v>
      </c>
      <c r="J806" s="2" t="s">
        <v>2570</v>
      </c>
      <c r="K806" s="4" t="str">
        <f>HYPERLINK("https://archive.org/details/bub_gb_UWONzxEA6x0C","Abrir enlace")</f>
        <v>Abrir enlace</v>
      </c>
      <c r="L806" s="2" t="s">
        <v>2571</v>
      </c>
      <c r="M806" s="2"/>
      <c r="N806" s="2" t="s">
        <v>54</v>
      </c>
      <c r="O806" s="2"/>
      <c r="P806" s="4" t="str">
        <f>HYPERLINK("https://archive.org/details/bub_gb_UWONzxEA6x0C","Abrir enlace")</f>
        <v>Abrir enlace</v>
      </c>
      <c r="Q806" s="2"/>
      <c r="R806" s="2"/>
      <c r="S806" s="2"/>
      <c r="T806" s="2"/>
      <c r="U806" s="2"/>
      <c r="V806" s="2"/>
      <c r="W806" s="2"/>
      <c r="X806" s="2"/>
      <c r="Y806" s="2"/>
      <c r="Z806" s="2"/>
      <c r="AA806" s="2" t="s">
        <v>51</v>
      </c>
      <c r="AB806" s="2" t="s">
        <v>2572</v>
      </c>
      <c r="AC806" s="2"/>
      <c r="AD806" s="2"/>
      <c r="AE806" s="2"/>
    </row>
    <row r="807" ht="15.75" customHeight="1">
      <c r="A807" s="2">
        <v>807.0</v>
      </c>
      <c r="B807" s="2" t="s">
        <v>2573</v>
      </c>
      <c r="C807" s="2" t="s">
        <v>1942</v>
      </c>
      <c r="D807" s="2" t="s">
        <v>33</v>
      </c>
      <c r="E807" s="2" t="s">
        <v>70</v>
      </c>
      <c r="F807" s="3" t="s">
        <v>35</v>
      </c>
      <c r="G807" s="2"/>
      <c r="H807" s="2" t="s">
        <v>70</v>
      </c>
      <c r="I807" s="2" t="s">
        <v>36</v>
      </c>
      <c r="J807" s="2" t="s">
        <v>37</v>
      </c>
      <c r="K807" s="4" t="str">
        <f t="shared" ref="K807:K808" si="111">HYPERLINK("https://openlibrary.org/works/OL43149102W","Abrir enlace")</f>
        <v>Abrir enlace</v>
      </c>
      <c r="L807" s="2" t="s">
        <v>1943</v>
      </c>
      <c r="M807" s="2"/>
      <c r="N807" s="2" t="s">
        <v>45</v>
      </c>
      <c r="O807" s="2"/>
      <c r="P807" s="4" t="str">
        <f t="shared" ref="P807:P808" si="112">HYPERLINK("https://openlibrary.org/works/OL43149102W","Abrir enlace")</f>
        <v>Abrir enlace</v>
      </c>
      <c r="Q807" s="2"/>
      <c r="R807" s="2"/>
      <c r="S807" s="2"/>
      <c r="T807" s="2"/>
      <c r="U807" s="2"/>
      <c r="V807" s="2"/>
      <c r="W807" s="2"/>
      <c r="X807" s="2"/>
      <c r="Y807" s="2"/>
      <c r="Z807" s="2"/>
      <c r="AA807" s="2" t="s">
        <v>51</v>
      </c>
      <c r="AB807" s="2" t="s">
        <v>72</v>
      </c>
      <c r="AC807" s="2"/>
      <c r="AD807" s="2"/>
      <c r="AE807" s="2"/>
    </row>
    <row r="808" ht="15.75" customHeight="1">
      <c r="A808" s="2">
        <v>808.0</v>
      </c>
      <c r="B808" s="2" t="s">
        <v>2573</v>
      </c>
      <c r="C808" s="2" t="s">
        <v>1942</v>
      </c>
      <c r="D808" s="2" t="s">
        <v>33</v>
      </c>
      <c r="E808" s="2" t="s">
        <v>70</v>
      </c>
      <c r="F808" s="3" t="s">
        <v>35</v>
      </c>
      <c r="G808" s="2"/>
      <c r="H808" s="2" t="s">
        <v>70</v>
      </c>
      <c r="I808" s="2" t="s">
        <v>36</v>
      </c>
      <c r="J808" s="2" t="s">
        <v>37</v>
      </c>
      <c r="K808" s="4" t="str">
        <f t="shared" si="111"/>
        <v>Abrir enlace</v>
      </c>
      <c r="L808" s="2" t="s">
        <v>1943</v>
      </c>
      <c r="M808" s="2"/>
      <c r="N808" s="2" t="s">
        <v>45</v>
      </c>
      <c r="O808" s="2"/>
      <c r="P808" s="4" t="str">
        <f t="shared" si="112"/>
        <v>Abrir enlace</v>
      </c>
      <c r="Q808" s="2"/>
      <c r="R808" s="2"/>
      <c r="S808" s="2"/>
      <c r="T808" s="2"/>
      <c r="U808" s="2"/>
      <c r="V808" s="2"/>
      <c r="W808" s="2"/>
      <c r="X808" s="2"/>
      <c r="Y808" s="2"/>
      <c r="Z808" s="2"/>
      <c r="AA808" s="2" t="s">
        <v>51</v>
      </c>
      <c r="AB808" s="2" t="s">
        <v>72</v>
      </c>
      <c r="AC808" s="2"/>
      <c r="AD808" s="2"/>
      <c r="AE808" s="2"/>
    </row>
    <row r="809" ht="15.75" customHeight="1">
      <c r="A809" s="2">
        <v>809.0</v>
      </c>
      <c r="B809" s="2" t="s">
        <v>2574</v>
      </c>
      <c r="C809" s="2"/>
      <c r="D809" s="2" t="s">
        <v>165</v>
      </c>
      <c r="E809" s="2" t="s">
        <v>64</v>
      </c>
      <c r="F809" s="2" t="s">
        <v>35</v>
      </c>
      <c r="G809" s="2"/>
      <c r="H809" s="2" t="s">
        <v>64</v>
      </c>
      <c r="I809" s="2" t="s">
        <v>36</v>
      </c>
      <c r="J809" s="2" t="s">
        <v>2575</v>
      </c>
      <c r="K809" s="4" t="str">
        <f>HYPERLINK("https://books.google.com/books/about/Nuovo_metodo_per_apprendere_agevolmente.html?id=2utQKxgAHvcC","Abrir enlace")</f>
        <v>Abrir enlace</v>
      </c>
      <c r="L809" s="2" t="s">
        <v>2576</v>
      </c>
      <c r="M809" s="2"/>
      <c r="N809" s="2" t="s">
        <v>91</v>
      </c>
      <c r="O809" s="2" t="s">
        <v>726</v>
      </c>
      <c r="P809" s="4" t="str">
        <f>HYPERLINK("https://books.google.com/books/about/Nuovo_metodo_per_apprendere_agevolmente.html?id=2utQKxgAHvcC","Abrir enlace")</f>
        <v>Abrir enlace</v>
      </c>
      <c r="Q809" s="2" t="s">
        <v>2577</v>
      </c>
      <c r="R809" s="2"/>
      <c r="S809" s="2" t="s">
        <v>91</v>
      </c>
      <c r="T809" s="2" t="s">
        <v>2578</v>
      </c>
      <c r="U809" s="4" t="str">
        <f>HYPERLINK("https://ia802907.us.archive.org/18/items/compendio-del-nuovo-metodo-per-apprendere-agevolmente-la-lingua-latina-1824/Compendio+del+Nuovo+Metodo+per+apprendere+agevolmente+la+Lingua"&amp;"+Latina+(1824)+-+copia+B.pdf","Abrir enlace")</f>
        <v>Abrir enlace</v>
      </c>
      <c r="V809" s="2" t="s">
        <v>2579</v>
      </c>
      <c r="W809" s="2"/>
      <c r="X809" s="2" t="s">
        <v>91</v>
      </c>
      <c r="Y809" s="2" t="s">
        <v>2580</v>
      </c>
      <c r="Z809" s="4" t="str">
        <f>HYPERLINK("https://www.youtube.com/watch?v=O2v1jMbfLTE","Abrir enlace")</f>
        <v>Abrir enlace</v>
      </c>
      <c r="AA809" s="2"/>
      <c r="AB809" s="2"/>
      <c r="AC809" s="2"/>
      <c r="AD809" s="2"/>
      <c r="AE809" s="2"/>
    </row>
    <row r="810" ht="15.75" customHeight="1">
      <c r="A810" s="2">
        <v>810.0</v>
      </c>
      <c r="B810" s="2" t="s">
        <v>2581</v>
      </c>
      <c r="C810" s="2" t="s">
        <v>2582</v>
      </c>
      <c r="D810" s="2" t="s">
        <v>33</v>
      </c>
      <c r="E810" s="2" t="s">
        <v>112</v>
      </c>
      <c r="F810" s="3" t="s">
        <v>35</v>
      </c>
      <c r="G810" s="2"/>
      <c r="H810" s="2" t="s">
        <v>112</v>
      </c>
      <c r="I810" s="2" t="s">
        <v>36</v>
      </c>
      <c r="J810" s="2" t="s">
        <v>37</v>
      </c>
      <c r="K810" s="4" t="str">
        <f t="shared" ref="K810:K811" si="113">HYPERLINK("https://archive.org/details/elcatolicismoen01eyzagoog","Abrir enlace")</f>
        <v>Abrir enlace</v>
      </c>
      <c r="L810" s="2" t="s">
        <v>2583</v>
      </c>
      <c r="M810" s="2"/>
      <c r="N810" s="2" t="s">
        <v>54</v>
      </c>
      <c r="O810" s="2"/>
      <c r="P810" s="4" t="str">
        <f t="shared" ref="P810:P811" si="114">HYPERLINK("https://archive.org/details/elcatolicismoen01eyzagoog","Abrir enlace")</f>
        <v>Abrir enlace</v>
      </c>
      <c r="Q810" s="2"/>
      <c r="R810" s="2"/>
      <c r="S810" s="2"/>
      <c r="T810" s="2"/>
      <c r="U810" s="2"/>
      <c r="V810" s="2"/>
      <c r="W810" s="2"/>
      <c r="X810" s="2"/>
      <c r="Y810" s="2"/>
      <c r="Z810" s="2"/>
      <c r="AA810" s="2" t="s">
        <v>51</v>
      </c>
      <c r="AB810" s="2" t="s">
        <v>114</v>
      </c>
      <c r="AC810" s="2"/>
      <c r="AD810" s="2"/>
      <c r="AE810" s="2"/>
    </row>
    <row r="811" ht="15.75" customHeight="1">
      <c r="A811" s="2">
        <v>811.0</v>
      </c>
      <c r="B811" s="2" t="s">
        <v>2581</v>
      </c>
      <c r="C811" s="2" t="s">
        <v>2582</v>
      </c>
      <c r="D811" s="2" t="s">
        <v>33</v>
      </c>
      <c r="E811" s="2" t="s">
        <v>112</v>
      </c>
      <c r="F811" s="3" t="s">
        <v>35</v>
      </c>
      <c r="G811" s="2"/>
      <c r="H811" s="2" t="s">
        <v>112</v>
      </c>
      <c r="I811" s="2" t="s">
        <v>36</v>
      </c>
      <c r="J811" s="2" t="s">
        <v>37</v>
      </c>
      <c r="K811" s="4" t="str">
        <f t="shared" si="113"/>
        <v>Abrir enlace</v>
      </c>
      <c r="L811" s="2" t="s">
        <v>2583</v>
      </c>
      <c r="M811" s="2"/>
      <c r="N811" s="2" t="s">
        <v>54</v>
      </c>
      <c r="O811" s="2"/>
      <c r="P811" s="4" t="str">
        <f t="shared" si="114"/>
        <v>Abrir enlace</v>
      </c>
      <c r="Q811" s="2"/>
      <c r="R811" s="2"/>
      <c r="S811" s="2"/>
      <c r="T811" s="2"/>
      <c r="U811" s="2"/>
      <c r="V811" s="2"/>
      <c r="W811" s="2"/>
      <c r="X811" s="2"/>
      <c r="Y811" s="2"/>
      <c r="Z811" s="2"/>
      <c r="AA811" s="2" t="s">
        <v>51</v>
      </c>
      <c r="AB811" s="2" t="s">
        <v>114</v>
      </c>
      <c r="AC811" s="2"/>
      <c r="AD811" s="2"/>
      <c r="AE811" s="2"/>
    </row>
    <row r="812" ht="15.75" customHeight="1">
      <c r="A812" s="2">
        <v>812.0</v>
      </c>
      <c r="B812" s="2" t="s">
        <v>2584</v>
      </c>
      <c r="C812" s="2"/>
      <c r="D812" s="2" t="s">
        <v>49</v>
      </c>
      <c r="E812" s="2" t="s">
        <v>112</v>
      </c>
      <c r="F812" s="3" t="s">
        <v>35</v>
      </c>
      <c r="G812" s="2"/>
      <c r="H812" s="2" t="s">
        <v>112</v>
      </c>
      <c r="I812" s="2" t="s">
        <v>36</v>
      </c>
      <c r="J812" s="2" t="s">
        <v>2585</v>
      </c>
      <c r="K812" s="4" t="str">
        <f>HYPERLINK("https://openlibrary.org/works/OL4740736W","Abrir enlace")</f>
        <v>Abrir enlace</v>
      </c>
      <c r="L812" s="2" t="s">
        <v>2586</v>
      </c>
      <c r="M812" s="2"/>
      <c r="N812" s="2" t="s">
        <v>45</v>
      </c>
      <c r="O812" s="2"/>
      <c r="P812" s="4" t="str">
        <f>HYPERLINK("https://openlibrary.org/works/OL4740736W","Abrir enlace")</f>
        <v>Abrir enlace</v>
      </c>
      <c r="Q812" s="2"/>
      <c r="R812" s="2"/>
      <c r="S812" s="2"/>
      <c r="T812" s="2"/>
      <c r="U812" s="2"/>
      <c r="V812" s="2"/>
      <c r="W812" s="2"/>
      <c r="X812" s="2"/>
      <c r="Y812" s="2"/>
      <c r="Z812" s="2"/>
      <c r="AA812" s="2" t="s">
        <v>60</v>
      </c>
      <c r="AB812" s="2" t="s">
        <v>2587</v>
      </c>
      <c r="AC812" s="2"/>
      <c r="AD812" s="2"/>
      <c r="AE812" s="2"/>
    </row>
    <row r="813" ht="15.75" customHeight="1">
      <c r="A813" s="2">
        <v>813.0</v>
      </c>
      <c r="B813" s="2" t="s">
        <v>2588</v>
      </c>
      <c r="C813" s="2" t="s">
        <v>2589</v>
      </c>
      <c r="D813" s="2" t="s">
        <v>33</v>
      </c>
      <c r="E813" s="2" t="s">
        <v>34</v>
      </c>
      <c r="F813" s="2" t="s">
        <v>35</v>
      </c>
      <c r="G813" s="2"/>
      <c r="H813" s="2" t="s">
        <v>34</v>
      </c>
      <c r="I813" s="2" t="s">
        <v>36</v>
      </c>
      <c r="J813" s="2" t="s">
        <v>2590</v>
      </c>
      <c r="K813" s="4" t="str">
        <f>HYPERLINK("https://www.zvab.com/OBRAS-ESTUDIOS-REINADO-FELIPE-IV-TOMO/10704529627/bd","Abrir enlace")</f>
        <v>Abrir enlace</v>
      </c>
      <c r="L813" s="2" t="s">
        <v>2591</v>
      </c>
      <c r="M813" s="2"/>
      <c r="N813" s="2" t="s">
        <v>91</v>
      </c>
      <c r="O813" s="2" t="s">
        <v>2178</v>
      </c>
      <c r="P813" s="4" t="str">
        <f>HYPERLINK("https://www.zvab.com/OBRAS-ESTUDIOS-REINADO-FELIPE-IV-TOMO/10704529627/bd","Abrir enlace")</f>
        <v>Abrir enlace</v>
      </c>
      <c r="Q813" s="2" t="s">
        <v>2592</v>
      </c>
      <c r="R813" s="2"/>
      <c r="S813" s="2" t="s">
        <v>91</v>
      </c>
      <c r="T813" s="2" t="s">
        <v>2593</v>
      </c>
      <c r="U813" s="4" t="str">
        <f>HYPERLINK("https://books.google.com/books/about/Estudios_del_reinado_de_Felipe_IV.html?id=Y583AQAAMAAJ","Abrir enlace")</f>
        <v>Abrir enlace</v>
      </c>
      <c r="V813" s="2" t="s">
        <v>2594</v>
      </c>
      <c r="W813" s="2"/>
      <c r="X813" s="2" t="s">
        <v>91</v>
      </c>
      <c r="Y813" s="2" t="s">
        <v>1974</v>
      </c>
      <c r="Z813" s="4" t="str">
        <f>HYPERLINK("https://www.amazon.com/Obras-Vol-Reflexiones-Negociación-Rompimiento/dp/1332691838","Abrir enlace")</f>
        <v>Abrir enlace</v>
      </c>
      <c r="AA813" s="2"/>
      <c r="AB813" s="2"/>
      <c r="AC813" s="2"/>
      <c r="AD813" s="2"/>
      <c r="AE813" s="2"/>
    </row>
    <row r="814" ht="15.75" customHeight="1">
      <c r="A814" s="2">
        <v>814.0</v>
      </c>
      <c r="B814" s="2" t="s">
        <v>2595</v>
      </c>
      <c r="C814" s="2" t="s">
        <v>2596</v>
      </c>
      <c r="D814" s="2" t="s">
        <v>33</v>
      </c>
      <c r="E814" s="2" t="s">
        <v>64</v>
      </c>
      <c r="F814" s="2" t="s">
        <v>35</v>
      </c>
      <c r="G814" s="2"/>
      <c r="H814" s="2" t="s">
        <v>64</v>
      </c>
      <c r="I814" s="2" t="s">
        <v>189</v>
      </c>
      <c r="J814" s="2" t="s">
        <v>2597</v>
      </c>
      <c r="K814" s="4" t="str">
        <f>HYPERLINK("https://transparenciasostenida.org/books/obras-de-d-severo-catalina/","Abrir enlace")</f>
        <v>Abrir enlace</v>
      </c>
      <c r="L814" s="2" t="s">
        <v>2598</v>
      </c>
      <c r="M814" s="2"/>
      <c r="N814" s="2" t="s">
        <v>91</v>
      </c>
      <c r="O814" s="2" t="s">
        <v>2041</v>
      </c>
      <c r="P814" s="4" t="str">
        <f>HYPERLINK("https://transparenciasostenida.org/books/obras-de-d-severo-catalina/","Abrir enlace")</f>
        <v>Abrir enlace</v>
      </c>
      <c r="Q814" s="2" t="s">
        <v>2599</v>
      </c>
      <c r="R814" s="2"/>
      <c r="S814" s="2" t="s">
        <v>91</v>
      </c>
      <c r="T814" s="2" t="s">
        <v>2600</v>
      </c>
      <c r="U814" s="4" t="str">
        <f>HYPERLINK("https://biblioteca.abev.net/catalog/20859","Abrir enlace")</f>
        <v>Abrir enlace</v>
      </c>
      <c r="V814" s="2" t="s">
        <v>2601</v>
      </c>
      <c r="W814" s="2"/>
      <c r="X814" s="2" t="s">
        <v>91</v>
      </c>
      <c r="Y814" s="2" t="s">
        <v>2132</v>
      </c>
      <c r="Z814" s="4" t="str">
        <f>HYPERLINK("https://www.cervantesvirtual.com/portales/europeistas_espanoles/obras/autor/catalina-severo-1832-1871-2330","Abrir enlace")</f>
        <v>Abrir enlace</v>
      </c>
      <c r="AA814" s="2"/>
      <c r="AB814" s="2"/>
      <c r="AC814" s="2"/>
      <c r="AD814" s="2"/>
      <c r="AE814" s="2"/>
    </row>
    <row r="815" ht="15.75" customHeight="1">
      <c r="A815" s="2">
        <v>815.0</v>
      </c>
      <c r="B815" s="2" t="s">
        <v>2595</v>
      </c>
      <c r="C815" s="2" t="s">
        <v>2596</v>
      </c>
      <c r="D815" s="2" t="s">
        <v>33</v>
      </c>
      <c r="E815" s="2" t="s">
        <v>64</v>
      </c>
      <c r="F815" s="2" t="s">
        <v>35</v>
      </c>
      <c r="G815" s="2"/>
      <c r="H815" s="2" t="s">
        <v>64</v>
      </c>
      <c r="I815" s="2" t="s">
        <v>189</v>
      </c>
      <c r="J815" s="2" t="s">
        <v>2597</v>
      </c>
      <c r="K815" s="2" t="s">
        <v>757</v>
      </c>
      <c r="L815" s="2" t="s">
        <v>2598</v>
      </c>
      <c r="M815" s="2"/>
      <c r="N815" s="2" t="s">
        <v>91</v>
      </c>
      <c r="O815" s="2" t="s">
        <v>2041</v>
      </c>
      <c r="P815" s="2" t="s">
        <v>757</v>
      </c>
      <c r="Q815" s="2" t="s">
        <v>2599</v>
      </c>
      <c r="R815" s="2"/>
      <c r="S815" s="2" t="s">
        <v>91</v>
      </c>
      <c r="T815" s="2" t="s">
        <v>2600</v>
      </c>
      <c r="U815" s="2" t="s">
        <v>757</v>
      </c>
      <c r="V815" s="2" t="s">
        <v>2601</v>
      </c>
      <c r="W815" s="2"/>
      <c r="X815" s="2" t="s">
        <v>91</v>
      </c>
      <c r="Y815" s="2" t="s">
        <v>2132</v>
      </c>
      <c r="Z815" s="2" t="s">
        <v>757</v>
      </c>
      <c r="AA815" s="2"/>
      <c r="AB815" s="2"/>
      <c r="AC815" s="2"/>
      <c r="AD815" s="2"/>
      <c r="AE815" s="2"/>
    </row>
    <row r="816" ht="15.75" customHeight="1">
      <c r="A816" s="2">
        <v>816.0</v>
      </c>
      <c r="B816" s="2" t="s">
        <v>2602</v>
      </c>
      <c r="C816" s="2" t="s">
        <v>1249</v>
      </c>
      <c r="D816" s="2" t="s">
        <v>33</v>
      </c>
      <c r="E816" s="2" t="s">
        <v>64</v>
      </c>
      <c r="F816" s="3" t="s">
        <v>35</v>
      </c>
      <c r="G816" s="2"/>
      <c r="H816" s="2" t="s">
        <v>64</v>
      </c>
      <c r="I816" s="2" t="s">
        <v>36</v>
      </c>
      <c r="J816" s="2" t="s">
        <v>37</v>
      </c>
      <c r="K816" s="4" t="str">
        <f>HYPERLINK("https://openlibrary.org/works/OL37751567W","Abrir enlace")</f>
        <v>Abrir enlace</v>
      </c>
      <c r="L816" s="2" t="s">
        <v>2603</v>
      </c>
      <c r="M816" s="2"/>
      <c r="N816" s="2" t="s">
        <v>45</v>
      </c>
      <c r="O816" s="2"/>
      <c r="P816" s="4" t="str">
        <f>HYPERLINK("https://openlibrary.org/works/OL37751567W","Abrir enlace")</f>
        <v>Abrir enlace</v>
      </c>
      <c r="Q816" s="2"/>
      <c r="R816" s="2"/>
      <c r="S816" s="2"/>
      <c r="T816" s="2"/>
      <c r="U816" s="2"/>
      <c r="V816" s="2"/>
      <c r="W816" s="2"/>
      <c r="X816" s="2"/>
      <c r="Y816" s="2"/>
      <c r="Z816" s="2"/>
      <c r="AA816" s="2" t="s">
        <v>51</v>
      </c>
      <c r="AB816" s="2" t="s">
        <v>67</v>
      </c>
      <c r="AC816" s="2"/>
      <c r="AD816" s="2"/>
      <c r="AE816" s="2"/>
    </row>
    <row r="817" ht="15.75" customHeight="1">
      <c r="A817" s="2">
        <v>817.0</v>
      </c>
      <c r="B817" s="2" t="s">
        <v>1932</v>
      </c>
      <c r="C817" s="2"/>
      <c r="D817" s="2" t="s">
        <v>49</v>
      </c>
      <c r="E817" s="2" t="s">
        <v>64</v>
      </c>
      <c r="F817" s="3" t="s">
        <v>35</v>
      </c>
      <c r="G817" s="2"/>
      <c r="H817" s="2" t="s">
        <v>64</v>
      </c>
      <c r="I817" s="2" t="s">
        <v>36</v>
      </c>
      <c r="J817" s="2" t="s">
        <v>37</v>
      </c>
      <c r="K817" s="4" t="str">
        <f>HYPERLINK("https://archive.org/details/adparatvslitter01freygoog","Abrir enlace")</f>
        <v>Abrir enlace</v>
      </c>
      <c r="L817" s="2" t="s">
        <v>1934</v>
      </c>
      <c r="M817" s="2"/>
      <c r="N817" s="2" t="s">
        <v>54</v>
      </c>
      <c r="O817" s="2"/>
      <c r="P817" s="4" t="str">
        <f>HYPERLINK("https://archive.org/details/adparatvslitter01freygoog","Abrir enlace")</f>
        <v>Abrir enlace</v>
      </c>
      <c r="Q817" s="2"/>
      <c r="R817" s="2"/>
      <c r="S817" s="2"/>
      <c r="T817" s="2"/>
      <c r="U817" s="2"/>
      <c r="V817" s="2"/>
      <c r="W817" s="2"/>
      <c r="X817" s="2"/>
      <c r="Y817" s="2"/>
      <c r="Z817" s="2"/>
      <c r="AA817" s="2" t="s">
        <v>46</v>
      </c>
      <c r="AB817" s="2" t="s">
        <v>67</v>
      </c>
      <c r="AC817" s="2"/>
      <c r="AD817" s="2"/>
      <c r="AE817" s="2"/>
    </row>
    <row r="818" ht="15.75" customHeight="1">
      <c r="A818" s="2">
        <v>818.0</v>
      </c>
      <c r="B818" s="2" t="s">
        <v>2604</v>
      </c>
      <c r="C818" s="2" t="s">
        <v>2605</v>
      </c>
      <c r="D818" s="2" t="s">
        <v>49</v>
      </c>
      <c r="E818" s="2" t="s">
        <v>112</v>
      </c>
      <c r="F818" s="3" t="s">
        <v>35</v>
      </c>
      <c r="G818" s="2"/>
      <c r="H818" s="2" t="s">
        <v>112</v>
      </c>
      <c r="I818" s="2" t="s">
        <v>36</v>
      </c>
      <c r="J818" s="2" t="s">
        <v>37</v>
      </c>
      <c r="K818" s="4" t="str">
        <f>HYPERLINK("https://openlibrary.org/works/OL15514511W","Abrir enlace")</f>
        <v>Abrir enlace</v>
      </c>
      <c r="L818" s="2" t="s">
        <v>2606</v>
      </c>
      <c r="M818" s="2"/>
      <c r="N818" s="2" t="s">
        <v>45</v>
      </c>
      <c r="O818" s="2"/>
      <c r="P818" s="4" t="str">
        <f>HYPERLINK("https://openlibrary.org/works/OL15514511W","Abrir enlace")</f>
        <v>Abrir enlace</v>
      </c>
      <c r="Q818" s="2"/>
      <c r="R818" s="2"/>
      <c r="S818" s="2"/>
      <c r="T818" s="2"/>
      <c r="U818" s="2"/>
      <c r="V818" s="2"/>
      <c r="W818" s="2"/>
      <c r="X818" s="2"/>
      <c r="Y818" s="2"/>
      <c r="Z818" s="2"/>
      <c r="AA818" s="2" t="s">
        <v>40</v>
      </c>
      <c r="AB818" s="2" t="s">
        <v>114</v>
      </c>
      <c r="AC818" s="2"/>
      <c r="AD818" s="2"/>
      <c r="AE818" s="2"/>
    </row>
    <row r="819" ht="15.75" customHeight="1">
      <c r="A819" s="2">
        <v>819.0</v>
      </c>
      <c r="B819" s="2" t="s">
        <v>1084</v>
      </c>
      <c r="C819" s="2" t="s">
        <v>1085</v>
      </c>
      <c r="D819" s="2" t="s">
        <v>165</v>
      </c>
      <c r="E819" s="2" t="s">
        <v>64</v>
      </c>
      <c r="F819" s="3" t="s">
        <v>35</v>
      </c>
      <c r="G819" s="2"/>
      <c r="H819" s="2" t="s">
        <v>64</v>
      </c>
      <c r="I819" s="2" t="s">
        <v>36</v>
      </c>
      <c r="J819" s="2" t="s">
        <v>37</v>
      </c>
      <c r="K819" s="4" t="str">
        <f>HYPERLINK("https://openlibrary.org/works/OL38748991W","Abrir enlace")</f>
        <v>Abrir enlace</v>
      </c>
      <c r="L819" s="2" t="s">
        <v>1086</v>
      </c>
      <c r="M819" s="2"/>
      <c r="N819" s="2" t="s">
        <v>45</v>
      </c>
      <c r="O819" s="2"/>
      <c r="P819" s="4" t="str">
        <f>HYPERLINK("https://openlibrary.org/works/OL38748991W","Abrir enlace")</f>
        <v>Abrir enlace</v>
      </c>
      <c r="Q819" s="2"/>
      <c r="R819" s="2"/>
      <c r="S819" s="2"/>
      <c r="T819" s="2"/>
      <c r="U819" s="2"/>
      <c r="V819" s="2"/>
      <c r="W819" s="2"/>
      <c r="X819" s="2"/>
      <c r="Y819" s="2"/>
      <c r="Z819" s="2"/>
      <c r="AA819" s="2" t="s">
        <v>51</v>
      </c>
      <c r="AB819" s="2" t="s">
        <v>67</v>
      </c>
      <c r="AC819" s="2"/>
      <c r="AD819" s="2"/>
      <c r="AE819" s="2"/>
    </row>
    <row r="820" ht="15.75" customHeight="1">
      <c r="A820" s="2">
        <v>820.0</v>
      </c>
      <c r="B820" s="2" t="s">
        <v>2607</v>
      </c>
      <c r="C820" s="2" t="s">
        <v>1390</v>
      </c>
      <c r="D820" s="2" t="s">
        <v>165</v>
      </c>
      <c r="E820" s="2" t="s">
        <v>64</v>
      </c>
      <c r="F820" s="2" t="s">
        <v>35</v>
      </c>
      <c r="G820" s="2"/>
      <c r="H820" s="2" t="s">
        <v>64</v>
      </c>
      <c r="I820" s="2" t="s">
        <v>36</v>
      </c>
      <c r="J820" s="2" t="s">
        <v>2608</v>
      </c>
      <c r="K820" s="4" t="str">
        <f>HYPERLINK("https://archive.org/details/tragedyaftereuri0000faas","Abrir enlace")</f>
        <v>Abrir enlace</v>
      </c>
      <c r="L820" s="2" t="s">
        <v>2609</v>
      </c>
      <c r="M820" s="2" t="s">
        <v>2610</v>
      </c>
      <c r="N820" s="2" t="s">
        <v>54</v>
      </c>
      <c r="O820" s="2" t="s">
        <v>2611</v>
      </c>
      <c r="P820" s="4" t="str">
        <f>HYPERLINK("https://archive.org/details/tragedyaftereuri0000faas","Abrir enlace")</f>
        <v>Abrir enlace</v>
      </c>
      <c r="Q820" s="2" t="s">
        <v>2612</v>
      </c>
      <c r="R820" s="2" t="s">
        <v>2613</v>
      </c>
      <c r="S820" s="2" t="s">
        <v>54</v>
      </c>
      <c r="T820" s="2" t="s">
        <v>1802</v>
      </c>
      <c r="U820" s="4" t="str">
        <f>HYPERLINK("https://archive.org/details/EuripidesLasTroyanasBilingue","Abrir enlace")</f>
        <v>Abrir enlace</v>
      </c>
      <c r="V820" s="2" t="s">
        <v>2614</v>
      </c>
      <c r="W820" s="2" t="s">
        <v>2615</v>
      </c>
      <c r="X820" s="2" t="s">
        <v>54</v>
      </c>
      <c r="Y820" s="2" t="s">
        <v>2616</v>
      </c>
      <c r="Z820" s="4" t="str">
        <f>HYPERLINK("https://archive.org/details/dietmesisbeieur00schigoog","Abrir enlace")</f>
        <v>Abrir enlace</v>
      </c>
      <c r="AA820" s="2"/>
      <c r="AB820" s="2"/>
      <c r="AC820" s="2"/>
      <c r="AD820" s="2"/>
      <c r="AE820" s="2"/>
    </row>
    <row r="821" ht="15.75" customHeight="1">
      <c r="A821" s="2">
        <v>821.0</v>
      </c>
      <c r="B821" s="2" t="s">
        <v>2617</v>
      </c>
      <c r="C821" s="2" t="s">
        <v>2618</v>
      </c>
      <c r="D821" s="2" t="s">
        <v>33</v>
      </c>
      <c r="E821" s="2" t="s">
        <v>64</v>
      </c>
      <c r="F821" s="2" t="s">
        <v>35</v>
      </c>
      <c r="G821" s="2"/>
      <c r="H821" s="2" t="s">
        <v>64</v>
      </c>
      <c r="I821" s="2" t="s">
        <v>36</v>
      </c>
      <c r="J821" s="2" t="s">
        <v>2619</v>
      </c>
      <c r="K821" s="4" t="str">
        <f>HYPERLINK("http://cdh.uaslp.mx/cgi-bin/koha/opac-detail.pl?biblionumber=1246&amp;shelfbrowse_itemnumber=1752","Abrir enlace")</f>
        <v>Abrir enlace</v>
      </c>
      <c r="L821" s="2" t="s">
        <v>2620</v>
      </c>
      <c r="M821" s="2"/>
      <c r="N821" s="2" t="s">
        <v>91</v>
      </c>
      <c r="O821" s="2" t="s">
        <v>1019</v>
      </c>
      <c r="P821" s="4" t="str">
        <f>HYPERLINK("http://cdh.uaslp.mx/cgi-bin/koha/opac-detail.pl?biblionumber=1246&amp;shelfbrowse_itemnumber=1752","Abrir enlace")</f>
        <v>Abrir enlace</v>
      </c>
      <c r="Q821" s="2" t="s">
        <v>2621</v>
      </c>
      <c r="R821" s="2"/>
      <c r="S821" s="2" t="s">
        <v>91</v>
      </c>
      <c r="T821" s="2" t="s">
        <v>1678</v>
      </c>
      <c r="U821" s="4" t="str">
        <f>HYPERLINK("https://search.library.wisc.edu/catalog/999805512102121","Abrir enlace")</f>
        <v>Abrir enlace</v>
      </c>
      <c r="V821" s="2" t="s">
        <v>2622</v>
      </c>
      <c r="W821" s="2"/>
      <c r="X821" s="2" t="s">
        <v>91</v>
      </c>
      <c r="Y821" s="2" t="s">
        <v>94</v>
      </c>
      <c r="Z821" s="4" t="str">
        <f>HYPERLINK("https://articulo.mercadolibre.com.mx/MLM-838256951-sonetos-postumos-1941-ipandro-acaico-_JM","Abrir enlace")</f>
        <v>Abrir enlace</v>
      </c>
      <c r="AA821" s="2"/>
      <c r="AB821" s="2"/>
      <c r="AC821" s="2"/>
      <c r="AD821" s="2"/>
      <c r="AE821" s="2"/>
    </row>
    <row r="822" ht="15.75" customHeight="1">
      <c r="A822" s="2">
        <v>822.0</v>
      </c>
      <c r="B822" s="2" t="s">
        <v>2623</v>
      </c>
      <c r="C822" s="2" t="s">
        <v>2624</v>
      </c>
      <c r="D822" s="2" t="s">
        <v>33</v>
      </c>
      <c r="E822" s="2" t="s">
        <v>34</v>
      </c>
      <c r="F822" s="3" t="s">
        <v>35</v>
      </c>
      <c r="G822" s="2"/>
      <c r="H822" s="2" t="s">
        <v>34</v>
      </c>
      <c r="I822" s="2" t="s">
        <v>36</v>
      </c>
      <c r="J822" s="2" t="s">
        <v>2625</v>
      </c>
      <c r="K822" s="4" t="str">
        <f>HYPERLINK("https://openlibrary.org/works/OL1544917W","Abrir enlace")</f>
        <v>Abrir enlace</v>
      </c>
      <c r="L822" s="2" t="s">
        <v>2626</v>
      </c>
      <c r="M822" s="2"/>
      <c r="N822" s="2" t="s">
        <v>45</v>
      </c>
      <c r="O822" s="2"/>
      <c r="P822" s="4" t="str">
        <f>HYPERLINK("https://openlibrary.org/works/OL1544917W","Abrir enlace")</f>
        <v>Abrir enlace</v>
      </c>
      <c r="Q822" s="2"/>
      <c r="R822" s="2"/>
      <c r="S822" s="2"/>
      <c r="T822" s="2"/>
      <c r="U822" s="2"/>
      <c r="V822" s="2"/>
      <c r="W822" s="2"/>
      <c r="X822" s="2"/>
      <c r="Y822" s="2"/>
      <c r="Z822" s="2"/>
      <c r="AA822" s="2" t="s">
        <v>46</v>
      </c>
      <c r="AB822" s="2" t="s">
        <v>2366</v>
      </c>
      <c r="AC822" s="2"/>
      <c r="AD822" s="2"/>
      <c r="AE822" s="2"/>
    </row>
    <row r="823" ht="15.75" customHeight="1">
      <c r="A823" s="2">
        <v>823.0</v>
      </c>
      <c r="B823" s="2" t="s">
        <v>2627</v>
      </c>
      <c r="C823" s="2" t="s">
        <v>2628</v>
      </c>
      <c r="D823" s="2" t="s">
        <v>33</v>
      </c>
      <c r="E823" s="2" t="s">
        <v>188</v>
      </c>
      <c r="F823" s="3" t="s">
        <v>35</v>
      </c>
      <c r="G823" s="2"/>
      <c r="H823" s="2" t="s">
        <v>188</v>
      </c>
      <c r="I823" s="2" t="s">
        <v>36</v>
      </c>
      <c r="J823" s="2" t="s">
        <v>2629</v>
      </c>
      <c r="K823" s="4" t="str">
        <f>HYPERLINK("https://openlibrary.org/works/OL18097978W","Abrir enlace")</f>
        <v>Abrir enlace</v>
      </c>
      <c r="L823" s="2" t="s">
        <v>2630</v>
      </c>
      <c r="M823" s="2"/>
      <c r="N823" s="2" t="s">
        <v>45</v>
      </c>
      <c r="O823" s="2"/>
      <c r="P823" s="4" t="str">
        <f>HYPERLINK("https://openlibrary.org/works/OL18097978W","Abrir enlace")</f>
        <v>Abrir enlace</v>
      </c>
      <c r="Q823" s="2"/>
      <c r="R823" s="2"/>
      <c r="S823" s="2"/>
      <c r="T823" s="2"/>
      <c r="U823" s="2"/>
      <c r="V823" s="2"/>
      <c r="W823" s="2"/>
      <c r="X823" s="2"/>
      <c r="Y823" s="2"/>
      <c r="Z823" s="2"/>
      <c r="AA823" s="2" t="s">
        <v>51</v>
      </c>
      <c r="AB823" s="2" t="s">
        <v>2631</v>
      </c>
      <c r="AC823" s="2"/>
      <c r="AD823" s="2"/>
      <c r="AE823" s="2"/>
    </row>
    <row r="824" ht="15.75" customHeight="1">
      <c r="A824" s="2">
        <v>824.0</v>
      </c>
      <c r="B824" s="2" t="s">
        <v>2632</v>
      </c>
      <c r="C824" s="2" t="s">
        <v>2633</v>
      </c>
      <c r="D824" s="2" t="s">
        <v>165</v>
      </c>
      <c r="E824" s="2" t="s">
        <v>64</v>
      </c>
      <c r="F824" s="2" t="s">
        <v>35</v>
      </c>
      <c r="G824" s="2"/>
      <c r="H824" s="2" t="s">
        <v>64</v>
      </c>
      <c r="I824" s="2" t="s">
        <v>168</v>
      </c>
      <c r="J824" s="2" t="s">
        <v>2634</v>
      </c>
      <c r="K824" s="4" t="str">
        <f>HYPERLINK("https://openlibrary.org/works/OL43001160W","Abrir enlace")</f>
        <v>Abrir enlace</v>
      </c>
      <c r="L824" s="2" t="s">
        <v>2635</v>
      </c>
      <c r="M824" s="2" t="s">
        <v>2636</v>
      </c>
      <c r="N824" s="2" t="s">
        <v>45</v>
      </c>
      <c r="O824" s="2" t="s">
        <v>2637</v>
      </c>
      <c r="P824" s="4" t="str">
        <f>HYPERLINK("https://openlibrary.org/works/OL43001160W","Abrir enlace")</f>
        <v>Abrir enlace</v>
      </c>
      <c r="Q824" s="2" t="s">
        <v>2638</v>
      </c>
      <c r="R824" s="2"/>
      <c r="S824" s="2" t="s">
        <v>91</v>
      </c>
      <c r="T824" s="2" t="s">
        <v>2639</v>
      </c>
      <c r="U824" s="4" t="str">
        <f>HYPERLINK("https://www.bibliotecadigitaldeandalucia.es/catalogo/es/consulta/registro.do?id=1019557","Abrir enlace")</f>
        <v>Abrir enlace</v>
      </c>
      <c r="V824" s="2" t="s">
        <v>2640</v>
      </c>
      <c r="W824" s="2"/>
      <c r="X824" s="2" t="s">
        <v>91</v>
      </c>
      <c r="Y824" s="2" t="s">
        <v>1644</v>
      </c>
      <c r="Z824" s="4" t="str">
        <f>HYPERLINK("https://books.google.com/books/about/Dictionarium.html?id=76oFjGuIFU4C","Abrir enlace")</f>
        <v>Abrir enlace</v>
      </c>
      <c r="AA824" s="2"/>
      <c r="AB824" s="2"/>
      <c r="AC824" s="2"/>
      <c r="AD824" s="2"/>
      <c r="AE824" s="2"/>
    </row>
    <row r="825" ht="15.75" customHeight="1">
      <c r="A825" s="2">
        <v>825.0</v>
      </c>
      <c r="B825" s="2" t="s">
        <v>2641</v>
      </c>
      <c r="C825" s="2"/>
      <c r="D825" s="2" t="s">
        <v>99</v>
      </c>
      <c r="E825" s="2" t="s">
        <v>64</v>
      </c>
      <c r="F825" s="2" t="s">
        <v>35</v>
      </c>
      <c r="G825" s="2"/>
      <c r="H825" s="2" t="s">
        <v>64</v>
      </c>
      <c r="I825" s="2" t="s">
        <v>36</v>
      </c>
      <c r="J825" s="2" t="s">
        <v>2642</v>
      </c>
      <c r="K825" s="4" t="str">
        <f>HYPERLINK("https://openlibrary.org/works/OL10725328W","Abrir enlace")</f>
        <v>Abrir enlace</v>
      </c>
      <c r="L825" s="2" t="s">
        <v>2641</v>
      </c>
      <c r="M825" s="2" t="s">
        <v>2643</v>
      </c>
      <c r="N825" s="2" t="s">
        <v>45</v>
      </c>
      <c r="O825" s="2" t="s">
        <v>2644</v>
      </c>
      <c r="P825" s="4" t="str">
        <f>HYPERLINK("https://openlibrary.org/works/OL10725328W","Abrir enlace")</f>
        <v>Abrir enlace</v>
      </c>
      <c r="Q825" s="2" t="s">
        <v>2645</v>
      </c>
      <c r="R825" s="2"/>
      <c r="S825" s="2" t="s">
        <v>91</v>
      </c>
      <c r="T825" s="2" t="s">
        <v>728</v>
      </c>
      <c r="U825" s="4" t="str">
        <f>HYPERLINK("https://archive.org/details/real-academia-espanola-diccionario-de-la-lengua-espanola","Abrir enlace")</f>
        <v>Abrir enlace</v>
      </c>
      <c r="V825" s="2" t="s">
        <v>2646</v>
      </c>
      <c r="W825" s="2" t="s">
        <v>2647</v>
      </c>
      <c r="X825" s="2" t="s">
        <v>54</v>
      </c>
      <c r="Y825" s="2" t="s">
        <v>2648</v>
      </c>
      <c r="Z825" s="4" t="str">
        <f>HYPERLINK("https://archive.org/details/exequiasdelaleng0000donj","Abrir enlace")</f>
        <v>Abrir enlace</v>
      </c>
      <c r="AA825" s="2"/>
      <c r="AB825" s="2"/>
      <c r="AC825" s="2"/>
      <c r="AD825" s="2"/>
      <c r="AE825" s="2"/>
    </row>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8.0"/>
    <col customWidth="1" min="2" max="2" width="95.0"/>
    <col customWidth="1" min="3" max="26" width="8.63"/>
  </cols>
  <sheetData>
    <row r="1">
      <c r="A1" s="5" t="s">
        <v>2649</v>
      </c>
      <c r="B1" s="5" t="s">
        <v>2650</v>
      </c>
    </row>
    <row r="2">
      <c r="A2" s="6" t="s">
        <v>2651</v>
      </c>
      <c r="B2" s="6">
        <v>824.0</v>
      </c>
    </row>
    <row r="3">
      <c r="A3" s="6" t="s">
        <v>2652</v>
      </c>
      <c r="B3" s="6">
        <v>571.0</v>
      </c>
    </row>
    <row r="4">
      <c r="A4" s="6" t="s">
        <v>2653</v>
      </c>
      <c r="B4" s="6">
        <v>253.0</v>
      </c>
    </row>
    <row r="5">
      <c r="A5" s="6" t="s">
        <v>2654</v>
      </c>
      <c r="B5" s="6" t="s">
        <v>2655</v>
      </c>
    </row>
    <row r="6">
      <c r="A6" s="6" t="s">
        <v>2656</v>
      </c>
      <c r="B6" s="6" t="s">
        <v>2657</v>
      </c>
    </row>
    <row r="7">
      <c r="A7" s="6" t="s">
        <v>2658</v>
      </c>
      <c r="B7" s="6" t="s">
        <v>2659</v>
      </c>
    </row>
    <row r="8">
      <c r="A8" s="6" t="s">
        <v>2660</v>
      </c>
      <c r="B8" s="6" t="s">
        <v>2661</v>
      </c>
    </row>
    <row r="9">
      <c r="A9" s="6" t="s">
        <v>2662</v>
      </c>
      <c r="B9" s="6" t="s">
        <v>2663</v>
      </c>
    </row>
    <row r="10">
      <c r="A10" s="6" t="s">
        <v>2664</v>
      </c>
      <c r="B10" s="6" t="s">
        <v>2665</v>
      </c>
    </row>
    <row r="11">
      <c r="A11" s="6" t="s">
        <v>2666</v>
      </c>
      <c r="B11" s="6" t="s">
        <v>2667</v>
      </c>
    </row>
    <row r="12">
      <c r="A12" s="6" t="s">
        <v>2668</v>
      </c>
      <c r="B12" s="6" t="s">
        <v>2669</v>
      </c>
    </row>
    <row r="13">
      <c r="A13" s="6" t="s">
        <v>2670</v>
      </c>
      <c r="B13" s="6" t="s">
        <v>2671</v>
      </c>
    </row>
    <row r="14">
      <c r="A14" s="6" t="s">
        <v>2672</v>
      </c>
      <c r="B14" s="6" t="s">
        <v>2673</v>
      </c>
    </row>
    <row r="15">
      <c r="A15" s="6" t="s">
        <v>2674</v>
      </c>
      <c r="B15" s="6" t="s">
        <v>2675</v>
      </c>
    </row>
    <row r="16">
      <c r="A16" s="6" t="s">
        <v>2676</v>
      </c>
      <c r="B16" s="6" t="s">
        <v>2677</v>
      </c>
    </row>
    <row r="17">
      <c r="A17" s="6" t="s">
        <v>2678</v>
      </c>
      <c r="B17" s="6" t="s">
        <v>2679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ySplit="1.0" topLeftCell="A2" activePane="bottomLeft" state="frozen"/>
      <selection activeCell="B3" sqref="B3" pane="bottomLeft"/>
    </sheetView>
  </sheetViews>
  <sheetFormatPr customHeight="1" defaultColWidth="12.63" defaultRowHeight="15.0"/>
  <cols>
    <col customWidth="1" min="1" max="1" width="25.88"/>
    <col customWidth="1" min="2" max="2" width="22.88"/>
    <col customWidth="1" min="3" max="3" width="35.75"/>
  </cols>
  <sheetData>
    <row r="1" ht="22.5" customHeight="1">
      <c r="A1" s="7" t="s">
        <v>2680</v>
      </c>
      <c r="B1" s="7" t="s">
        <v>2681</v>
      </c>
      <c r="C1" s="7" t="s">
        <v>2682</v>
      </c>
      <c r="D1" s="7" t="s">
        <v>2683</v>
      </c>
      <c r="E1" s="7" t="s">
        <v>2684</v>
      </c>
    </row>
    <row r="2" ht="22.5" customHeight="1">
      <c r="A2" s="8" t="s">
        <v>68</v>
      </c>
      <c r="B2" s="9" t="s">
        <v>69</v>
      </c>
      <c r="C2" s="10" t="s">
        <v>2685</v>
      </c>
      <c r="D2" s="11" t="s">
        <v>2686</v>
      </c>
      <c r="E2" s="12" t="s">
        <v>2687</v>
      </c>
    </row>
    <row r="3" ht="22.5" customHeight="1">
      <c r="A3" s="13" t="s">
        <v>83</v>
      </c>
      <c r="B3" s="14" t="s">
        <v>84</v>
      </c>
      <c r="C3" s="15" t="s">
        <v>2688</v>
      </c>
      <c r="D3" s="16" t="s">
        <v>2689</v>
      </c>
      <c r="E3" s="17" t="s">
        <v>2690</v>
      </c>
    </row>
    <row r="4" ht="22.5" customHeight="1">
      <c r="A4" s="8" t="s">
        <v>2691</v>
      </c>
      <c r="B4" s="9" t="s">
        <v>1870</v>
      </c>
      <c r="C4" s="10" t="s">
        <v>2692</v>
      </c>
      <c r="D4" s="11" t="s">
        <v>2693</v>
      </c>
      <c r="E4" s="18" t="s">
        <v>2694</v>
      </c>
    </row>
    <row r="5" ht="22.5" customHeight="1">
      <c r="A5" s="19" t="s">
        <v>710</v>
      </c>
      <c r="B5" s="14" t="s">
        <v>2695</v>
      </c>
      <c r="C5" s="15" t="s">
        <v>2696</v>
      </c>
      <c r="D5" s="16" t="s">
        <v>2697</v>
      </c>
      <c r="E5" s="20" t="s">
        <v>2698</v>
      </c>
    </row>
    <row r="6" ht="22.5" customHeight="1">
      <c r="A6" s="8" t="s">
        <v>2699</v>
      </c>
      <c r="B6" s="9" t="s">
        <v>233</v>
      </c>
      <c r="C6" s="10" t="s">
        <v>2700</v>
      </c>
      <c r="D6" s="11" t="s">
        <v>2693</v>
      </c>
      <c r="E6" s="12" t="s">
        <v>2701</v>
      </c>
    </row>
    <row r="7" ht="22.5" customHeight="1">
      <c r="A7" s="13" t="s">
        <v>1541</v>
      </c>
      <c r="B7" s="14" t="s">
        <v>2695</v>
      </c>
      <c r="C7" s="15" t="s">
        <v>2702</v>
      </c>
      <c r="D7" s="16" t="s">
        <v>2697</v>
      </c>
      <c r="E7" s="17" t="s">
        <v>2703</v>
      </c>
    </row>
    <row r="8" ht="22.5" customHeight="1">
      <c r="A8" s="21" t="s">
        <v>2704</v>
      </c>
      <c r="B8" s="22" t="s">
        <v>98</v>
      </c>
      <c r="C8" s="23" t="s">
        <v>2705</v>
      </c>
      <c r="D8" s="24" t="s">
        <v>2706</v>
      </c>
      <c r="E8" s="25" t="s">
        <v>2707</v>
      </c>
    </row>
    <row r="9">
      <c r="A9" s="26"/>
      <c r="B9" s="26"/>
      <c r="C9" s="26"/>
      <c r="D9" s="26"/>
      <c r="E9" s="26"/>
    </row>
    <row r="10">
      <c r="A10" s="26"/>
      <c r="B10" s="26"/>
      <c r="C10" s="26"/>
      <c r="D10" s="26"/>
      <c r="E10" s="26"/>
    </row>
    <row r="11">
      <c r="A11" s="26"/>
      <c r="B11" s="26"/>
      <c r="C11" s="26"/>
      <c r="D11" s="26"/>
      <c r="E11" s="26"/>
    </row>
    <row r="12">
      <c r="A12" s="26"/>
      <c r="B12" s="26"/>
      <c r="C12" s="26"/>
      <c r="D12" s="26"/>
      <c r="E12" s="26"/>
    </row>
    <row r="13">
      <c r="A13" s="26"/>
      <c r="B13" s="26"/>
      <c r="C13" s="26"/>
      <c r="D13" s="26"/>
      <c r="E13" s="26"/>
    </row>
    <row r="14">
      <c r="A14" s="26"/>
      <c r="B14" s="26"/>
      <c r="C14" s="26"/>
      <c r="D14" s="26"/>
      <c r="E14" s="26"/>
    </row>
    <row r="15">
      <c r="A15" s="26"/>
      <c r="B15" s="26"/>
      <c r="C15" s="26"/>
      <c r="D15" s="26"/>
      <c r="E15" s="26"/>
    </row>
    <row r="16">
      <c r="A16" s="26"/>
      <c r="B16" s="26"/>
      <c r="C16" s="26"/>
      <c r="D16" s="26"/>
      <c r="E16" s="26"/>
    </row>
    <row r="17">
      <c r="A17" s="26"/>
      <c r="B17" s="26"/>
      <c r="C17" s="26"/>
      <c r="D17" s="26"/>
      <c r="E17" s="26"/>
    </row>
    <row r="18">
      <c r="A18" s="26"/>
      <c r="B18" s="26"/>
      <c r="C18" s="26"/>
      <c r="D18" s="26"/>
      <c r="E18" s="26"/>
    </row>
    <row r="19">
      <c r="A19" s="26"/>
      <c r="B19" s="26"/>
      <c r="C19" s="26"/>
      <c r="D19" s="26"/>
      <c r="E19" s="26"/>
    </row>
    <row r="20">
      <c r="A20" s="26"/>
      <c r="B20" s="26"/>
      <c r="C20" s="26"/>
      <c r="D20" s="26"/>
      <c r="E20" s="26"/>
    </row>
    <row r="21">
      <c r="A21" s="26"/>
      <c r="B21" s="26"/>
      <c r="C21" s="26"/>
      <c r="D21" s="26"/>
      <c r="E21" s="26"/>
    </row>
    <row r="22">
      <c r="A22" s="26"/>
      <c r="B22" s="26"/>
      <c r="C22" s="26"/>
      <c r="D22" s="26"/>
      <c r="E22" s="26"/>
    </row>
    <row r="23">
      <c r="A23" s="26"/>
      <c r="B23" s="26"/>
      <c r="C23" s="26"/>
      <c r="D23" s="26"/>
      <c r="E23" s="26"/>
    </row>
    <row r="24">
      <c r="A24" s="26"/>
      <c r="B24" s="26"/>
      <c r="C24" s="26"/>
      <c r="D24" s="26"/>
      <c r="E24" s="26"/>
    </row>
    <row r="25">
      <c r="A25" s="26"/>
      <c r="B25" s="26"/>
      <c r="C25" s="26"/>
      <c r="D25" s="26"/>
      <c r="E25" s="26"/>
    </row>
    <row r="26">
      <c r="A26" s="26"/>
      <c r="B26" s="26"/>
      <c r="C26" s="26"/>
      <c r="D26" s="26"/>
      <c r="E26" s="26"/>
    </row>
    <row r="27">
      <c r="A27" s="26"/>
      <c r="B27" s="26"/>
      <c r="C27" s="26"/>
      <c r="D27" s="26"/>
      <c r="E27" s="26"/>
    </row>
    <row r="28">
      <c r="A28" s="26"/>
      <c r="B28" s="26"/>
      <c r="C28" s="26"/>
      <c r="D28" s="26"/>
      <c r="E28" s="26"/>
    </row>
    <row r="29">
      <c r="A29" s="26"/>
      <c r="B29" s="26"/>
      <c r="C29" s="26"/>
      <c r="D29" s="26"/>
      <c r="E29" s="26"/>
    </row>
    <row r="30">
      <c r="A30" s="26"/>
      <c r="B30" s="26"/>
      <c r="C30" s="26"/>
      <c r="D30" s="26"/>
      <c r="E30" s="26"/>
    </row>
    <row r="31">
      <c r="A31" s="26"/>
      <c r="B31" s="26"/>
      <c r="C31" s="26"/>
      <c r="D31" s="26"/>
      <c r="E31" s="26"/>
    </row>
    <row r="32">
      <c r="A32" s="26"/>
      <c r="B32" s="26"/>
      <c r="C32" s="26"/>
      <c r="D32" s="26"/>
      <c r="E32" s="26"/>
    </row>
    <row r="33">
      <c r="A33" s="26"/>
      <c r="B33" s="26"/>
      <c r="C33" s="26"/>
      <c r="D33" s="26"/>
      <c r="E33" s="26"/>
    </row>
    <row r="34">
      <c r="A34" s="26"/>
      <c r="B34" s="26"/>
      <c r="C34" s="26"/>
      <c r="D34" s="26"/>
      <c r="E34" s="26"/>
    </row>
    <row r="35">
      <c r="A35" s="26"/>
      <c r="B35" s="26"/>
      <c r="C35" s="26"/>
      <c r="D35" s="26"/>
      <c r="E35" s="26"/>
    </row>
    <row r="36">
      <c r="A36" s="26"/>
      <c r="B36" s="26"/>
      <c r="C36" s="26"/>
      <c r="D36" s="26"/>
      <c r="E36" s="26"/>
    </row>
    <row r="37">
      <c r="A37" s="26"/>
      <c r="B37" s="26"/>
      <c r="C37" s="26"/>
      <c r="D37" s="26"/>
      <c r="E37" s="26"/>
    </row>
    <row r="38">
      <c r="A38" s="26"/>
      <c r="B38" s="26"/>
      <c r="C38" s="26"/>
      <c r="D38" s="26"/>
      <c r="E38" s="26"/>
    </row>
    <row r="39">
      <c r="A39" s="26"/>
      <c r="B39" s="26"/>
      <c r="C39" s="26"/>
      <c r="D39" s="26"/>
      <c r="E39" s="26"/>
    </row>
    <row r="40">
      <c r="A40" s="26"/>
      <c r="B40" s="26"/>
      <c r="C40" s="26"/>
      <c r="D40" s="26"/>
      <c r="E40" s="26"/>
    </row>
    <row r="41">
      <c r="A41" s="26"/>
      <c r="B41" s="26"/>
      <c r="C41" s="26"/>
      <c r="D41" s="26"/>
      <c r="E41" s="26"/>
    </row>
    <row r="42">
      <c r="A42" s="26"/>
      <c r="B42" s="26"/>
      <c r="C42" s="26"/>
      <c r="D42" s="26"/>
      <c r="E42" s="26"/>
    </row>
    <row r="43">
      <c r="A43" s="26"/>
      <c r="B43" s="26"/>
      <c r="C43" s="26"/>
      <c r="D43" s="26"/>
      <c r="E43" s="26"/>
    </row>
    <row r="44">
      <c r="A44" s="26"/>
      <c r="B44" s="26"/>
      <c r="C44" s="26"/>
      <c r="D44" s="26"/>
      <c r="E44" s="26"/>
    </row>
    <row r="45">
      <c r="A45" s="26"/>
      <c r="B45" s="26"/>
      <c r="C45" s="26"/>
      <c r="D45" s="26"/>
      <c r="E45" s="26"/>
    </row>
    <row r="46">
      <c r="A46" s="26"/>
      <c r="B46" s="26"/>
      <c r="C46" s="26"/>
      <c r="D46" s="26"/>
      <c r="E46" s="26"/>
    </row>
    <row r="47">
      <c r="A47" s="26"/>
      <c r="B47" s="26"/>
      <c r="C47" s="26"/>
      <c r="D47" s="26"/>
      <c r="E47" s="26"/>
    </row>
    <row r="48">
      <c r="A48" s="26"/>
      <c r="B48" s="26"/>
      <c r="C48" s="26"/>
      <c r="D48" s="26"/>
      <c r="E48" s="26"/>
    </row>
    <row r="49">
      <c r="A49" s="26"/>
      <c r="B49" s="26"/>
      <c r="C49" s="26"/>
      <c r="D49" s="26"/>
      <c r="E49" s="26"/>
    </row>
    <row r="50">
      <c r="A50" s="26"/>
      <c r="B50" s="26"/>
      <c r="C50" s="26"/>
      <c r="D50" s="26"/>
      <c r="E50" s="26"/>
    </row>
    <row r="51">
      <c r="A51" s="26"/>
      <c r="B51" s="26"/>
      <c r="C51" s="26"/>
      <c r="D51" s="26"/>
      <c r="E51" s="26"/>
    </row>
    <row r="52">
      <c r="A52" s="26"/>
      <c r="B52" s="26"/>
      <c r="C52" s="26"/>
      <c r="D52" s="26"/>
      <c r="E52" s="26"/>
    </row>
    <row r="53">
      <c r="A53" s="26"/>
      <c r="B53" s="26"/>
      <c r="C53" s="26"/>
      <c r="D53" s="26"/>
      <c r="E53" s="26"/>
    </row>
    <row r="54">
      <c r="A54" s="26"/>
      <c r="B54" s="26"/>
      <c r="C54" s="26"/>
      <c r="D54" s="26"/>
      <c r="E54" s="26"/>
    </row>
    <row r="55">
      <c r="A55" s="26"/>
      <c r="B55" s="26"/>
      <c r="C55" s="26"/>
      <c r="D55" s="26"/>
      <c r="E55" s="26"/>
    </row>
    <row r="56">
      <c r="A56" s="26"/>
      <c r="B56" s="26"/>
      <c r="C56" s="26"/>
      <c r="D56" s="26"/>
      <c r="E56" s="26"/>
    </row>
    <row r="57">
      <c r="A57" s="26"/>
      <c r="B57" s="26"/>
      <c r="C57" s="26"/>
      <c r="D57" s="26"/>
      <c r="E57" s="26"/>
    </row>
    <row r="58">
      <c r="A58" s="26"/>
      <c r="B58" s="26"/>
      <c r="C58" s="26"/>
      <c r="D58" s="26"/>
      <c r="E58" s="26"/>
    </row>
    <row r="59">
      <c r="A59" s="26"/>
      <c r="B59" s="26"/>
      <c r="C59" s="26"/>
      <c r="D59" s="26"/>
      <c r="E59" s="26"/>
    </row>
    <row r="60">
      <c r="A60" s="26"/>
      <c r="B60" s="26"/>
      <c r="C60" s="26"/>
      <c r="D60" s="26"/>
      <c r="E60" s="26"/>
    </row>
    <row r="61">
      <c r="A61" s="26"/>
      <c r="B61" s="26"/>
      <c r="C61" s="26"/>
      <c r="D61" s="26"/>
      <c r="E61" s="26"/>
    </row>
    <row r="62">
      <c r="A62" s="26"/>
      <c r="B62" s="26"/>
      <c r="C62" s="26"/>
      <c r="D62" s="26"/>
      <c r="E62" s="26"/>
    </row>
    <row r="63">
      <c r="A63" s="26"/>
      <c r="B63" s="26"/>
      <c r="C63" s="26"/>
      <c r="D63" s="26"/>
      <c r="E63" s="26"/>
    </row>
    <row r="64">
      <c r="A64" s="26"/>
      <c r="B64" s="26"/>
      <c r="C64" s="26"/>
      <c r="D64" s="26"/>
      <c r="E64" s="26"/>
    </row>
    <row r="65">
      <c r="A65" s="26"/>
      <c r="B65" s="26"/>
      <c r="C65" s="26"/>
      <c r="D65" s="26"/>
      <c r="E65" s="26"/>
    </row>
    <row r="66">
      <c r="A66" s="26"/>
      <c r="B66" s="26"/>
      <c r="C66" s="26"/>
      <c r="D66" s="26"/>
      <c r="E66" s="26"/>
    </row>
    <row r="67">
      <c r="A67" s="26"/>
      <c r="B67" s="26"/>
      <c r="C67" s="26"/>
      <c r="D67" s="26"/>
      <c r="E67" s="26"/>
    </row>
    <row r="68">
      <c r="A68" s="26"/>
      <c r="B68" s="26"/>
      <c r="C68" s="26"/>
      <c r="D68" s="26"/>
      <c r="E68" s="26"/>
    </row>
    <row r="69">
      <c r="A69" s="26"/>
      <c r="B69" s="26"/>
      <c r="C69" s="26"/>
      <c r="D69" s="26"/>
      <c r="E69" s="26"/>
    </row>
    <row r="70">
      <c r="A70" s="26"/>
      <c r="B70" s="26"/>
      <c r="C70" s="26"/>
      <c r="D70" s="26"/>
      <c r="E70" s="26"/>
    </row>
    <row r="71">
      <c r="A71" s="26"/>
      <c r="B71" s="26"/>
      <c r="C71" s="26"/>
      <c r="D71" s="26"/>
      <c r="E71" s="26"/>
    </row>
    <row r="72">
      <c r="A72" s="26"/>
      <c r="B72" s="26"/>
      <c r="C72" s="26"/>
      <c r="D72" s="26"/>
      <c r="E72" s="26"/>
    </row>
    <row r="73">
      <c r="A73" s="26"/>
      <c r="B73" s="26"/>
      <c r="C73" s="26"/>
      <c r="D73" s="26"/>
      <c r="E73" s="26"/>
    </row>
    <row r="74">
      <c r="A74" s="26"/>
      <c r="B74" s="26"/>
      <c r="C74" s="26"/>
      <c r="D74" s="26"/>
      <c r="E74" s="26"/>
    </row>
    <row r="75">
      <c r="A75" s="26"/>
      <c r="B75" s="26"/>
      <c r="C75" s="26"/>
      <c r="D75" s="26"/>
      <c r="E75" s="26"/>
    </row>
    <row r="76">
      <c r="A76" s="26"/>
      <c r="B76" s="26"/>
      <c r="C76" s="26"/>
      <c r="D76" s="26"/>
      <c r="E76" s="26"/>
    </row>
    <row r="77">
      <c r="A77" s="26"/>
      <c r="B77" s="26"/>
      <c r="C77" s="26"/>
      <c r="D77" s="26"/>
      <c r="E77" s="26"/>
    </row>
    <row r="78">
      <c r="A78" s="26"/>
      <c r="B78" s="26"/>
      <c r="C78" s="26"/>
      <c r="D78" s="26"/>
      <c r="E78" s="26"/>
    </row>
    <row r="79">
      <c r="A79" s="26"/>
      <c r="B79" s="26"/>
      <c r="C79" s="26"/>
      <c r="D79" s="26"/>
      <c r="E79" s="26"/>
    </row>
    <row r="80">
      <c r="A80" s="26"/>
      <c r="B80" s="26"/>
      <c r="C80" s="26"/>
      <c r="D80" s="26"/>
      <c r="E80" s="26"/>
    </row>
    <row r="81">
      <c r="A81" s="26"/>
      <c r="B81" s="26"/>
      <c r="C81" s="26"/>
      <c r="D81" s="26"/>
      <c r="E81" s="26"/>
    </row>
    <row r="82">
      <c r="A82" s="26"/>
      <c r="B82" s="26"/>
      <c r="C82" s="26"/>
      <c r="D82" s="26"/>
      <c r="E82" s="26"/>
    </row>
    <row r="83">
      <c r="A83" s="26"/>
      <c r="B83" s="26"/>
      <c r="C83" s="26"/>
      <c r="D83" s="26"/>
      <c r="E83" s="26"/>
    </row>
    <row r="84">
      <c r="A84" s="26"/>
      <c r="B84" s="26"/>
      <c r="C84" s="26"/>
      <c r="D84" s="26"/>
      <c r="E84" s="26"/>
    </row>
    <row r="85">
      <c r="A85" s="26"/>
      <c r="B85" s="26"/>
      <c r="C85" s="26"/>
      <c r="D85" s="26"/>
      <c r="E85" s="26"/>
    </row>
    <row r="86">
      <c r="A86" s="26"/>
      <c r="B86" s="26"/>
      <c r="C86" s="26"/>
      <c r="D86" s="26"/>
      <c r="E86" s="26"/>
    </row>
    <row r="87">
      <c r="A87" s="26"/>
      <c r="B87" s="26"/>
      <c r="C87" s="26"/>
      <c r="D87" s="26"/>
      <c r="E87" s="26"/>
    </row>
    <row r="88">
      <c r="A88" s="26"/>
      <c r="B88" s="26"/>
      <c r="C88" s="26"/>
      <c r="D88" s="26"/>
      <c r="E88" s="26"/>
    </row>
    <row r="89">
      <c r="A89" s="26"/>
      <c r="B89" s="26"/>
      <c r="C89" s="26"/>
      <c r="D89" s="26"/>
      <c r="E89" s="26"/>
    </row>
    <row r="90">
      <c r="A90" s="26"/>
      <c r="B90" s="26"/>
      <c r="C90" s="26"/>
      <c r="D90" s="26"/>
      <c r="E90" s="26"/>
    </row>
    <row r="91">
      <c r="A91" s="26"/>
      <c r="B91" s="26"/>
      <c r="C91" s="26"/>
      <c r="D91" s="26"/>
      <c r="E91" s="26"/>
    </row>
    <row r="92">
      <c r="A92" s="26"/>
      <c r="B92" s="26"/>
      <c r="C92" s="26"/>
      <c r="D92" s="26"/>
      <c r="E92" s="26"/>
    </row>
    <row r="93">
      <c r="A93" s="26"/>
      <c r="B93" s="26"/>
      <c r="C93" s="26"/>
      <c r="D93" s="26"/>
      <c r="E93" s="26"/>
    </row>
    <row r="94">
      <c r="A94" s="26"/>
      <c r="B94" s="26"/>
      <c r="C94" s="26"/>
      <c r="D94" s="26"/>
      <c r="E94" s="26"/>
    </row>
    <row r="95">
      <c r="A95" s="26"/>
      <c r="B95" s="26"/>
      <c r="C95" s="26"/>
      <c r="D95" s="26"/>
      <c r="E95" s="26"/>
    </row>
    <row r="96">
      <c r="A96" s="26"/>
      <c r="B96" s="26"/>
      <c r="C96" s="26"/>
      <c r="D96" s="26"/>
      <c r="E96" s="26"/>
    </row>
    <row r="97">
      <c r="A97" s="26"/>
      <c r="B97" s="26"/>
      <c r="C97" s="26"/>
      <c r="D97" s="26"/>
      <c r="E97" s="26"/>
    </row>
    <row r="98">
      <c r="A98" s="26"/>
      <c r="B98" s="26"/>
      <c r="C98" s="26"/>
      <c r="D98" s="26"/>
      <c r="E98" s="26"/>
    </row>
    <row r="99">
      <c r="A99" s="26"/>
      <c r="B99" s="26"/>
      <c r="C99" s="26"/>
      <c r="D99" s="26"/>
      <c r="E99" s="26"/>
    </row>
    <row r="100">
      <c r="A100" s="26"/>
      <c r="B100" s="26"/>
      <c r="C100" s="26"/>
      <c r="D100" s="26"/>
      <c r="E100" s="26"/>
    </row>
    <row r="101">
      <c r="A101" s="26"/>
      <c r="B101" s="26"/>
      <c r="C101" s="26"/>
      <c r="D101" s="26"/>
      <c r="E101" s="26"/>
    </row>
    <row r="102">
      <c r="A102" s="26"/>
      <c r="B102" s="26"/>
      <c r="C102" s="26"/>
      <c r="D102" s="26"/>
      <c r="E102" s="26"/>
    </row>
    <row r="103">
      <c r="A103" s="26"/>
      <c r="B103" s="26"/>
      <c r="C103" s="26"/>
      <c r="D103" s="26"/>
      <c r="E103" s="26"/>
    </row>
    <row r="104">
      <c r="A104" s="26"/>
      <c r="B104" s="26"/>
      <c r="C104" s="26"/>
      <c r="D104" s="26"/>
      <c r="E104" s="26"/>
    </row>
    <row r="105">
      <c r="A105" s="26"/>
      <c r="B105" s="26"/>
      <c r="C105" s="26"/>
      <c r="D105" s="26"/>
      <c r="E105" s="26"/>
    </row>
    <row r="106">
      <c r="A106" s="26"/>
      <c r="B106" s="26"/>
      <c r="C106" s="26"/>
      <c r="D106" s="26"/>
      <c r="E106" s="26"/>
    </row>
    <row r="107">
      <c r="A107" s="26"/>
      <c r="B107" s="26"/>
      <c r="C107" s="26"/>
      <c r="D107" s="26"/>
      <c r="E107" s="26"/>
    </row>
    <row r="108">
      <c r="A108" s="26"/>
      <c r="B108" s="26"/>
      <c r="C108" s="26"/>
      <c r="D108" s="26"/>
      <c r="E108" s="26"/>
    </row>
    <row r="109">
      <c r="A109" s="26"/>
      <c r="B109" s="26"/>
      <c r="C109" s="26"/>
      <c r="D109" s="26"/>
      <c r="E109" s="26"/>
    </row>
    <row r="110">
      <c r="A110" s="26"/>
      <c r="B110" s="26"/>
      <c r="C110" s="26"/>
      <c r="D110" s="26"/>
      <c r="E110" s="26"/>
    </row>
    <row r="111">
      <c r="A111" s="26"/>
      <c r="B111" s="26"/>
      <c r="C111" s="26"/>
      <c r="D111" s="26"/>
      <c r="E111" s="26"/>
    </row>
    <row r="112">
      <c r="A112" s="26"/>
      <c r="B112" s="26"/>
      <c r="C112" s="26"/>
      <c r="D112" s="26"/>
      <c r="E112" s="26"/>
    </row>
    <row r="113">
      <c r="A113" s="26"/>
      <c r="B113" s="26"/>
      <c r="C113" s="26"/>
      <c r="D113" s="26"/>
      <c r="E113" s="26"/>
    </row>
    <row r="114">
      <c r="A114" s="26"/>
      <c r="B114" s="26"/>
      <c r="C114" s="26"/>
      <c r="D114" s="26"/>
      <c r="E114" s="26"/>
    </row>
    <row r="115">
      <c r="A115" s="26"/>
      <c r="B115" s="26"/>
      <c r="C115" s="26"/>
      <c r="D115" s="26"/>
      <c r="E115" s="26"/>
    </row>
    <row r="116">
      <c r="A116" s="26"/>
      <c r="B116" s="26"/>
      <c r="C116" s="26"/>
      <c r="D116" s="26"/>
      <c r="E116" s="26"/>
    </row>
    <row r="117">
      <c r="A117" s="26"/>
      <c r="B117" s="26"/>
      <c r="C117" s="26"/>
      <c r="D117" s="26"/>
      <c r="E117" s="26"/>
    </row>
    <row r="118">
      <c r="A118" s="26"/>
      <c r="B118" s="26"/>
      <c r="C118" s="26"/>
      <c r="D118" s="26"/>
      <c r="E118" s="26"/>
    </row>
    <row r="119">
      <c r="A119" s="26"/>
      <c r="B119" s="26"/>
      <c r="C119" s="26"/>
      <c r="D119" s="26"/>
      <c r="E119" s="26"/>
    </row>
    <row r="120">
      <c r="A120" s="26"/>
      <c r="B120" s="26"/>
      <c r="C120" s="26"/>
      <c r="D120" s="26"/>
      <c r="E120" s="26"/>
    </row>
    <row r="121">
      <c r="A121" s="26"/>
      <c r="B121" s="26"/>
      <c r="C121" s="26"/>
      <c r="D121" s="26"/>
      <c r="E121" s="26"/>
    </row>
    <row r="122">
      <c r="A122" s="26"/>
      <c r="B122" s="26"/>
      <c r="C122" s="26"/>
      <c r="D122" s="26"/>
      <c r="E122" s="26"/>
    </row>
    <row r="123">
      <c r="A123" s="26"/>
      <c r="B123" s="26"/>
      <c r="C123" s="26"/>
      <c r="D123" s="26"/>
      <c r="E123" s="26"/>
    </row>
    <row r="124">
      <c r="A124" s="26"/>
      <c r="B124" s="26"/>
      <c r="C124" s="26"/>
      <c r="D124" s="26"/>
      <c r="E124" s="26"/>
    </row>
    <row r="125">
      <c r="A125" s="26"/>
      <c r="B125" s="26"/>
      <c r="C125" s="26"/>
      <c r="D125" s="26"/>
      <c r="E125" s="26"/>
    </row>
    <row r="126">
      <c r="A126" s="26"/>
      <c r="B126" s="26"/>
      <c r="C126" s="26"/>
      <c r="D126" s="26"/>
      <c r="E126" s="26"/>
    </row>
    <row r="127">
      <c r="A127" s="26"/>
      <c r="B127" s="26"/>
      <c r="C127" s="26"/>
      <c r="D127" s="26"/>
      <c r="E127" s="26"/>
    </row>
    <row r="128">
      <c r="A128" s="26"/>
      <c r="B128" s="26"/>
      <c r="C128" s="26"/>
      <c r="D128" s="26"/>
      <c r="E128" s="26"/>
    </row>
    <row r="129">
      <c r="A129" s="26"/>
      <c r="B129" s="26"/>
      <c r="C129" s="26"/>
      <c r="D129" s="26"/>
      <c r="E129" s="26"/>
    </row>
    <row r="130">
      <c r="A130" s="26"/>
      <c r="B130" s="26"/>
      <c r="C130" s="26"/>
      <c r="D130" s="26"/>
      <c r="E130" s="26"/>
    </row>
    <row r="131">
      <c r="A131" s="26"/>
      <c r="B131" s="26"/>
      <c r="C131" s="26"/>
      <c r="D131" s="26"/>
      <c r="E131" s="26"/>
    </row>
    <row r="132">
      <c r="A132" s="26"/>
      <c r="B132" s="26"/>
      <c r="C132" s="26"/>
      <c r="D132" s="26"/>
      <c r="E132" s="26"/>
    </row>
    <row r="133">
      <c r="A133" s="26"/>
      <c r="B133" s="26"/>
      <c r="C133" s="26"/>
      <c r="D133" s="26"/>
      <c r="E133" s="26"/>
    </row>
    <row r="134">
      <c r="A134" s="26"/>
      <c r="B134" s="26"/>
      <c r="C134" s="26"/>
      <c r="D134" s="26"/>
      <c r="E134" s="26"/>
    </row>
    <row r="135">
      <c r="A135" s="26"/>
      <c r="B135" s="26"/>
      <c r="C135" s="26"/>
      <c r="D135" s="26"/>
      <c r="E135" s="26"/>
    </row>
    <row r="136">
      <c r="A136" s="26"/>
      <c r="B136" s="26"/>
      <c r="C136" s="26"/>
      <c r="D136" s="26"/>
      <c r="E136" s="26"/>
    </row>
    <row r="137">
      <c r="A137" s="26"/>
      <c r="B137" s="26"/>
      <c r="C137" s="26"/>
      <c r="D137" s="26"/>
      <c r="E137" s="26"/>
    </row>
    <row r="138">
      <c r="A138" s="26"/>
      <c r="B138" s="26"/>
      <c r="C138" s="26"/>
      <c r="D138" s="26"/>
      <c r="E138" s="26"/>
    </row>
    <row r="139">
      <c r="A139" s="26"/>
      <c r="B139" s="26"/>
      <c r="C139" s="26"/>
      <c r="D139" s="26"/>
      <c r="E139" s="26"/>
    </row>
    <row r="140">
      <c r="A140" s="26"/>
      <c r="B140" s="26"/>
      <c r="C140" s="26"/>
      <c r="D140" s="26"/>
      <c r="E140" s="26"/>
    </row>
    <row r="141">
      <c r="A141" s="26"/>
      <c r="B141" s="26"/>
      <c r="C141" s="26"/>
      <c r="D141" s="26"/>
      <c r="E141" s="26"/>
    </row>
    <row r="142">
      <c r="A142" s="26"/>
      <c r="B142" s="26"/>
      <c r="C142" s="26"/>
      <c r="D142" s="26"/>
      <c r="E142" s="26"/>
    </row>
    <row r="143">
      <c r="A143" s="26"/>
      <c r="B143" s="26"/>
      <c r="C143" s="26"/>
      <c r="D143" s="26"/>
      <c r="E143" s="26"/>
    </row>
    <row r="144">
      <c r="A144" s="26"/>
      <c r="B144" s="26"/>
      <c r="C144" s="26"/>
      <c r="D144" s="26"/>
      <c r="E144" s="26"/>
    </row>
    <row r="145">
      <c r="A145" s="26"/>
      <c r="B145" s="26"/>
      <c r="C145" s="26"/>
      <c r="D145" s="26"/>
      <c r="E145" s="26"/>
    </row>
    <row r="146">
      <c r="A146" s="26"/>
      <c r="B146" s="26"/>
      <c r="C146" s="26"/>
      <c r="D146" s="26"/>
      <c r="E146" s="26"/>
    </row>
    <row r="147">
      <c r="A147" s="26"/>
      <c r="B147" s="26"/>
      <c r="C147" s="26"/>
      <c r="D147" s="26"/>
      <c r="E147" s="26"/>
    </row>
    <row r="148">
      <c r="A148" s="26"/>
      <c r="B148" s="26"/>
      <c r="C148" s="26"/>
      <c r="D148" s="26"/>
      <c r="E148" s="26"/>
    </row>
    <row r="149">
      <c r="A149" s="26"/>
      <c r="B149" s="26"/>
      <c r="C149" s="26"/>
      <c r="D149" s="26"/>
      <c r="E149" s="26"/>
    </row>
    <row r="150">
      <c r="A150" s="26"/>
      <c r="B150" s="26"/>
      <c r="C150" s="26"/>
      <c r="D150" s="26"/>
      <c r="E150" s="26"/>
    </row>
    <row r="151">
      <c r="A151" s="26"/>
      <c r="B151" s="26"/>
      <c r="C151" s="26"/>
      <c r="D151" s="26"/>
      <c r="E151" s="26"/>
    </row>
    <row r="152">
      <c r="A152" s="26"/>
      <c r="B152" s="26"/>
      <c r="C152" s="26"/>
      <c r="D152" s="26"/>
      <c r="E152" s="26"/>
    </row>
    <row r="153">
      <c r="A153" s="26"/>
      <c r="B153" s="26"/>
      <c r="C153" s="26"/>
      <c r="D153" s="26"/>
      <c r="E153" s="26"/>
    </row>
    <row r="154">
      <c r="A154" s="26"/>
      <c r="B154" s="26"/>
      <c r="C154" s="26"/>
      <c r="D154" s="26"/>
      <c r="E154" s="26"/>
    </row>
    <row r="155">
      <c r="A155" s="26"/>
      <c r="B155" s="26"/>
      <c r="C155" s="26"/>
      <c r="D155" s="26"/>
      <c r="E155" s="26"/>
    </row>
    <row r="156">
      <c r="A156" s="26"/>
      <c r="B156" s="26"/>
      <c r="C156" s="26"/>
      <c r="D156" s="26"/>
      <c r="E156" s="26"/>
    </row>
    <row r="157">
      <c r="A157" s="26"/>
      <c r="B157" s="26"/>
      <c r="C157" s="26"/>
      <c r="D157" s="26"/>
      <c r="E157" s="26"/>
    </row>
    <row r="158">
      <c r="A158" s="26"/>
      <c r="B158" s="26"/>
      <c r="C158" s="26"/>
      <c r="D158" s="26"/>
      <c r="E158" s="26"/>
    </row>
    <row r="159">
      <c r="A159" s="26"/>
      <c r="B159" s="26"/>
      <c r="C159" s="26"/>
      <c r="D159" s="26"/>
      <c r="E159" s="26"/>
    </row>
    <row r="160">
      <c r="A160" s="26"/>
      <c r="B160" s="26"/>
      <c r="C160" s="26"/>
      <c r="D160" s="26"/>
      <c r="E160" s="26"/>
    </row>
    <row r="161">
      <c r="A161" s="26"/>
      <c r="B161" s="26"/>
      <c r="C161" s="26"/>
      <c r="D161" s="26"/>
      <c r="E161" s="26"/>
    </row>
    <row r="162">
      <c r="A162" s="26"/>
      <c r="B162" s="26"/>
      <c r="C162" s="26"/>
      <c r="D162" s="26"/>
      <c r="E162" s="26"/>
    </row>
    <row r="163">
      <c r="A163" s="26"/>
      <c r="B163" s="26"/>
      <c r="C163" s="26"/>
      <c r="D163" s="26"/>
      <c r="E163" s="26"/>
    </row>
    <row r="164">
      <c r="A164" s="26"/>
      <c r="B164" s="26"/>
      <c r="C164" s="26"/>
      <c r="D164" s="26"/>
      <c r="E164" s="26"/>
    </row>
    <row r="165">
      <c r="A165" s="26"/>
      <c r="B165" s="26"/>
      <c r="C165" s="26"/>
      <c r="D165" s="26"/>
      <c r="E165" s="26"/>
    </row>
    <row r="166">
      <c r="A166" s="26"/>
      <c r="B166" s="26"/>
      <c r="C166" s="26"/>
      <c r="D166" s="26"/>
      <c r="E166" s="26"/>
    </row>
    <row r="167">
      <c r="A167" s="26"/>
      <c r="B167" s="26"/>
      <c r="C167" s="26"/>
      <c r="D167" s="26"/>
      <c r="E167" s="26"/>
    </row>
    <row r="168">
      <c r="A168" s="26"/>
      <c r="B168" s="26"/>
      <c r="C168" s="26"/>
      <c r="D168" s="26"/>
      <c r="E168" s="26"/>
    </row>
    <row r="169">
      <c r="A169" s="26"/>
      <c r="B169" s="26"/>
      <c r="C169" s="26"/>
      <c r="D169" s="26"/>
      <c r="E169" s="26"/>
    </row>
    <row r="170">
      <c r="A170" s="26"/>
      <c r="B170" s="26"/>
      <c r="C170" s="26"/>
      <c r="D170" s="26"/>
      <c r="E170" s="26"/>
    </row>
    <row r="171">
      <c r="A171" s="26"/>
      <c r="B171" s="26"/>
      <c r="C171" s="26"/>
      <c r="D171" s="26"/>
      <c r="E171" s="26"/>
    </row>
    <row r="172">
      <c r="A172" s="26"/>
      <c r="B172" s="26"/>
      <c r="C172" s="26"/>
      <c r="D172" s="26"/>
      <c r="E172" s="26"/>
    </row>
    <row r="173">
      <c r="A173" s="26"/>
      <c r="B173" s="26"/>
      <c r="C173" s="26"/>
      <c r="D173" s="26"/>
      <c r="E173" s="26"/>
    </row>
    <row r="174">
      <c r="A174" s="26"/>
      <c r="B174" s="26"/>
      <c r="C174" s="26"/>
      <c r="D174" s="26"/>
      <c r="E174" s="26"/>
    </row>
    <row r="175">
      <c r="A175" s="26"/>
      <c r="B175" s="26"/>
      <c r="C175" s="26"/>
      <c r="D175" s="26"/>
      <c r="E175" s="26"/>
    </row>
    <row r="176">
      <c r="A176" s="26"/>
      <c r="B176" s="26"/>
      <c r="C176" s="26"/>
      <c r="D176" s="26"/>
      <c r="E176" s="26"/>
    </row>
    <row r="177">
      <c r="A177" s="26"/>
      <c r="B177" s="26"/>
      <c r="C177" s="26"/>
      <c r="D177" s="26"/>
      <c r="E177" s="26"/>
    </row>
    <row r="178">
      <c r="A178" s="26"/>
      <c r="B178" s="26"/>
      <c r="C178" s="26"/>
      <c r="D178" s="26"/>
      <c r="E178" s="26"/>
    </row>
    <row r="179">
      <c r="A179" s="26"/>
      <c r="B179" s="26"/>
      <c r="C179" s="26"/>
      <c r="D179" s="26"/>
      <c r="E179" s="26"/>
    </row>
    <row r="180">
      <c r="A180" s="26"/>
      <c r="B180" s="26"/>
      <c r="C180" s="26"/>
      <c r="D180" s="26"/>
      <c r="E180" s="26"/>
    </row>
    <row r="181">
      <c r="A181" s="26"/>
      <c r="B181" s="26"/>
      <c r="C181" s="26"/>
      <c r="D181" s="26"/>
      <c r="E181" s="26"/>
    </row>
    <row r="182">
      <c r="A182" s="26"/>
      <c r="B182" s="26"/>
      <c r="C182" s="26"/>
      <c r="D182" s="26"/>
      <c r="E182" s="26"/>
    </row>
    <row r="183">
      <c r="A183" s="26"/>
      <c r="B183" s="26"/>
      <c r="C183" s="26"/>
      <c r="D183" s="26"/>
      <c r="E183" s="26"/>
    </row>
    <row r="184">
      <c r="A184" s="26"/>
      <c r="B184" s="26"/>
      <c r="C184" s="26"/>
      <c r="D184" s="26"/>
      <c r="E184" s="26"/>
    </row>
    <row r="185">
      <c r="A185" s="26"/>
      <c r="B185" s="26"/>
      <c r="C185" s="26"/>
      <c r="D185" s="26"/>
      <c r="E185" s="26"/>
    </row>
    <row r="186">
      <c r="A186" s="26"/>
      <c r="B186" s="26"/>
      <c r="C186" s="26"/>
      <c r="D186" s="26"/>
      <c r="E186" s="26"/>
    </row>
    <row r="187">
      <c r="A187" s="26"/>
      <c r="B187" s="26"/>
      <c r="C187" s="26"/>
      <c r="D187" s="26"/>
      <c r="E187" s="26"/>
    </row>
    <row r="188">
      <c r="A188" s="26"/>
      <c r="B188" s="26"/>
      <c r="C188" s="26"/>
      <c r="D188" s="26"/>
      <c r="E188" s="26"/>
    </row>
    <row r="189">
      <c r="A189" s="26"/>
      <c r="B189" s="26"/>
      <c r="C189" s="26"/>
      <c r="D189" s="26"/>
      <c r="E189" s="26"/>
    </row>
    <row r="190">
      <c r="A190" s="26"/>
      <c r="B190" s="26"/>
      <c r="C190" s="26"/>
      <c r="D190" s="26"/>
      <c r="E190" s="26"/>
    </row>
    <row r="191">
      <c r="A191" s="26"/>
      <c r="B191" s="26"/>
      <c r="C191" s="26"/>
      <c r="D191" s="26"/>
      <c r="E191" s="26"/>
    </row>
    <row r="192">
      <c r="A192" s="26"/>
      <c r="B192" s="26"/>
      <c r="C192" s="26"/>
      <c r="D192" s="26"/>
      <c r="E192" s="26"/>
    </row>
    <row r="193">
      <c r="A193" s="26"/>
      <c r="B193" s="26"/>
      <c r="C193" s="26"/>
      <c r="D193" s="26"/>
      <c r="E193" s="26"/>
    </row>
    <row r="194">
      <c r="A194" s="26"/>
      <c r="B194" s="26"/>
      <c r="C194" s="26"/>
      <c r="D194" s="26"/>
      <c r="E194" s="26"/>
    </row>
    <row r="195">
      <c r="A195" s="26"/>
      <c r="B195" s="26"/>
      <c r="C195" s="26"/>
      <c r="D195" s="26"/>
      <c r="E195" s="26"/>
    </row>
    <row r="196">
      <c r="A196" s="26"/>
      <c r="B196" s="26"/>
      <c r="C196" s="26"/>
      <c r="D196" s="26"/>
      <c r="E196" s="26"/>
    </row>
    <row r="197">
      <c r="A197" s="26"/>
      <c r="B197" s="26"/>
      <c r="C197" s="26"/>
      <c r="D197" s="26"/>
      <c r="E197" s="26"/>
    </row>
    <row r="198">
      <c r="A198" s="26"/>
      <c r="B198" s="26"/>
      <c r="C198" s="26"/>
      <c r="D198" s="26"/>
      <c r="E198" s="26"/>
    </row>
    <row r="199">
      <c r="A199" s="26"/>
      <c r="B199" s="26"/>
      <c r="C199" s="26"/>
      <c r="D199" s="26"/>
      <c r="E199" s="26"/>
    </row>
    <row r="200">
      <c r="A200" s="26"/>
      <c r="B200" s="26"/>
      <c r="C200" s="26"/>
      <c r="D200" s="26"/>
      <c r="E200" s="26"/>
    </row>
    <row r="201">
      <c r="A201" s="26"/>
      <c r="B201" s="26"/>
      <c r="C201" s="26"/>
      <c r="D201" s="26"/>
      <c r="E201" s="26"/>
    </row>
    <row r="202">
      <c r="A202" s="26"/>
      <c r="B202" s="26"/>
      <c r="C202" s="26"/>
      <c r="D202" s="26"/>
      <c r="E202" s="26"/>
    </row>
    <row r="203">
      <c r="A203" s="26"/>
      <c r="B203" s="26"/>
      <c r="C203" s="26"/>
      <c r="D203" s="26"/>
      <c r="E203" s="26"/>
    </row>
    <row r="204">
      <c r="A204" s="26"/>
      <c r="B204" s="26"/>
      <c r="C204" s="26"/>
      <c r="D204" s="26"/>
      <c r="E204" s="26"/>
    </row>
    <row r="205">
      <c r="A205" s="26"/>
      <c r="B205" s="26"/>
      <c r="C205" s="26"/>
      <c r="D205" s="26"/>
      <c r="E205" s="26"/>
    </row>
    <row r="206">
      <c r="A206" s="26"/>
      <c r="B206" s="26"/>
      <c r="C206" s="26"/>
      <c r="D206" s="26"/>
      <c r="E206" s="26"/>
    </row>
    <row r="207">
      <c r="A207" s="26"/>
      <c r="B207" s="26"/>
      <c r="C207" s="26"/>
      <c r="D207" s="26"/>
      <c r="E207" s="26"/>
    </row>
    <row r="208">
      <c r="A208" s="26"/>
      <c r="B208" s="26"/>
      <c r="C208" s="26"/>
      <c r="D208" s="26"/>
      <c r="E208" s="26"/>
    </row>
    <row r="209">
      <c r="A209" s="26"/>
      <c r="B209" s="26"/>
      <c r="C209" s="26"/>
      <c r="D209" s="26"/>
      <c r="E209" s="26"/>
    </row>
    <row r="210">
      <c r="A210" s="26"/>
      <c r="B210" s="26"/>
      <c r="C210" s="26"/>
      <c r="D210" s="26"/>
      <c r="E210" s="26"/>
    </row>
    <row r="211">
      <c r="A211" s="26"/>
      <c r="B211" s="26"/>
      <c r="C211" s="26"/>
      <c r="D211" s="26"/>
      <c r="E211" s="26"/>
    </row>
    <row r="212">
      <c r="A212" s="26"/>
      <c r="B212" s="26"/>
      <c r="C212" s="26"/>
      <c r="D212" s="26"/>
      <c r="E212" s="26"/>
    </row>
    <row r="213">
      <c r="A213" s="26"/>
      <c r="B213" s="26"/>
      <c r="C213" s="26"/>
      <c r="D213" s="26"/>
      <c r="E213" s="26"/>
    </row>
    <row r="214">
      <c r="A214" s="26"/>
      <c r="B214" s="26"/>
      <c r="C214" s="26"/>
      <c r="D214" s="26"/>
      <c r="E214" s="26"/>
    </row>
    <row r="215">
      <c r="A215" s="26"/>
      <c r="B215" s="26"/>
      <c r="C215" s="26"/>
      <c r="D215" s="26"/>
      <c r="E215" s="26"/>
    </row>
    <row r="216">
      <c r="A216" s="26"/>
      <c r="B216" s="26"/>
      <c r="C216" s="26"/>
      <c r="D216" s="26"/>
      <c r="E216" s="26"/>
    </row>
    <row r="217">
      <c r="A217" s="26"/>
      <c r="B217" s="26"/>
      <c r="C217" s="26"/>
      <c r="D217" s="26"/>
      <c r="E217" s="26"/>
    </row>
    <row r="218">
      <c r="A218" s="26"/>
      <c r="B218" s="26"/>
      <c r="C218" s="26"/>
      <c r="D218" s="26"/>
      <c r="E218" s="26"/>
    </row>
    <row r="219">
      <c r="A219" s="26"/>
      <c r="B219" s="26"/>
      <c r="C219" s="26"/>
      <c r="D219" s="26"/>
      <c r="E219" s="26"/>
    </row>
    <row r="220">
      <c r="A220" s="26"/>
      <c r="B220" s="26"/>
      <c r="C220" s="26"/>
      <c r="D220" s="26"/>
      <c r="E220" s="26"/>
    </row>
    <row r="221">
      <c r="A221" s="26"/>
      <c r="B221" s="26"/>
      <c r="C221" s="26"/>
      <c r="D221" s="26"/>
      <c r="E221" s="26"/>
    </row>
    <row r="222">
      <c r="A222" s="26"/>
      <c r="B222" s="26"/>
      <c r="C222" s="26"/>
      <c r="D222" s="26"/>
      <c r="E222" s="26"/>
    </row>
    <row r="223">
      <c r="A223" s="26"/>
      <c r="B223" s="26"/>
      <c r="C223" s="26"/>
      <c r="D223" s="26"/>
      <c r="E223" s="26"/>
    </row>
    <row r="224">
      <c r="A224" s="26"/>
      <c r="B224" s="26"/>
      <c r="C224" s="26"/>
      <c r="D224" s="26"/>
      <c r="E224" s="26"/>
    </row>
    <row r="225">
      <c r="A225" s="26"/>
      <c r="B225" s="26"/>
      <c r="C225" s="26"/>
      <c r="D225" s="26"/>
      <c r="E225" s="26"/>
    </row>
    <row r="226">
      <c r="A226" s="26"/>
      <c r="B226" s="26"/>
      <c r="C226" s="26"/>
      <c r="D226" s="26"/>
      <c r="E226" s="26"/>
    </row>
    <row r="227">
      <c r="A227" s="26"/>
      <c r="B227" s="26"/>
      <c r="C227" s="26"/>
      <c r="D227" s="26"/>
      <c r="E227" s="26"/>
    </row>
    <row r="228">
      <c r="A228" s="26"/>
      <c r="B228" s="26"/>
      <c r="C228" s="26"/>
      <c r="D228" s="26"/>
      <c r="E228" s="26"/>
    </row>
    <row r="229">
      <c r="A229" s="26"/>
      <c r="B229" s="26"/>
      <c r="C229" s="26"/>
      <c r="D229" s="26"/>
      <c r="E229" s="26"/>
    </row>
    <row r="230">
      <c r="A230" s="26"/>
      <c r="B230" s="26"/>
      <c r="C230" s="26"/>
      <c r="D230" s="26"/>
      <c r="E230" s="26"/>
    </row>
    <row r="231">
      <c r="A231" s="26"/>
      <c r="B231" s="26"/>
      <c r="C231" s="26"/>
      <c r="D231" s="26"/>
      <c r="E231" s="26"/>
    </row>
    <row r="232">
      <c r="A232" s="26"/>
      <c r="B232" s="26"/>
      <c r="C232" s="26"/>
      <c r="D232" s="26"/>
      <c r="E232" s="26"/>
    </row>
    <row r="233">
      <c r="A233" s="26"/>
      <c r="B233" s="26"/>
      <c r="C233" s="26"/>
      <c r="D233" s="26"/>
      <c r="E233" s="26"/>
    </row>
    <row r="234">
      <c r="A234" s="26"/>
      <c r="B234" s="26"/>
      <c r="C234" s="26"/>
      <c r="D234" s="26"/>
      <c r="E234" s="26"/>
    </row>
    <row r="235">
      <c r="A235" s="26"/>
      <c r="B235" s="26"/>
      <c r="C235" s="26"/>
      <c r="D235" s="26"/>
      <c r="E235" s="26"/>
    </row>
    <row r="236">
      <c r="A236" s="26"/>
      <c r="B236" s="26"/>
      <c r="C236" s="26"/>
      <c r="D236" s="26"/>
      <c r="E236" s="26"/>
    </row>
    <row r="237">
      <c r="A237" s="26"/>
      <c r="B237" s="26"/>
      <c r="C237" s="26"/>
      <c r="D237" s="26"/>
      <c r="E237" s="26"/>
    </row>
    <row r="238">
      <c r="A238" s="26"/>
      <c r="B238" s="26"/>
      <c r="C238" s="26"/>
      <c r="D238" s="26"/>
      <c r="E238" s="26"/>
    </row>
    <row r="239">
      <c r="A239" s="26"/>
      <c r="B239" s="26"/>
      <c r="C239" s="26"/>
      <c r="D239" s="26"/>
      <c r="E239" s="26"/>
    </row>
    <row r="240">
      <c r="A240" s="26"/>
      <c r="B240" s="26"/>
      <c r="C240" s="26"/>
      <c r="D240" s="26"/>
      <c r="E240" s="26"/>
    </row>
    <row r="241">
      <c r="A241" s="26"/>
      <c r="B241" s="26"/>
      <c r="C241" s="26"/>
      <c r="D241" s="26"/>
      <c r="E241" s="26"/>
    </row>
    <row r="242">
      <c r="A242" s="26"/>
      <c r="B242" s="26"/>
      <c r="C242" s="26"/>
      <c r="D242" s="26"/>
      <c r="E242" s="26"/>
    </row>
    <row r="243">
      <c r="A243" s="26"/>
      <c r="B243" s="26"/>
      <c r="C243" s="26"/>
      <c r="D243" s="26"/>
      <c r="E243" s="26"/>
    </row>
    <row r="244">
      <c r="A244" s="26"/>
      <c r="B244" s="26"/>
      <c r="C244" s="26"/>
      <c r="D244" s="26"/>
      <c r="E244" s="26"/>
    </row>
    <row r="245">
      <c r="A245" s="26"/>
      <c r="B245" s="26"/>
      <c r="C245" s="26"/>
      <c r="D245" s="26"/>
      <c r="E245" s="26"/>
    </row>
    <row r="246">
      <c r="A246" s="26"/>
      <c r="B246" s="26"/>
      <c r="C246" s="26"/>
      <c r="D246" s="26"/>
      <c r="E246" s="26"/>
    </row>
    <row r="247">
      <c r="A247" s="26"/>
      <c r="B247" s="26"/>
      <c r="C247" s="26"/>
      <c r="D247" s="26"/>
      <c r="E247" s="26"/>
    </row>
    <row r="248">
      <c r="A248" s="26"/>
      <c r="B248" s="26"/>
      <c r="C248" s="26"/>
      <c r="D248" s="26"/>
      <c r="E248" s="26"/>
    </row>
    <row r="249">
      <c r="A249" s="26"/>
      <c r="B249" s="26"/>
      <c r="C249" s="26"/>
      <c r="D249" s="26"/>
      <c r="E249" s="26"/>
    </row>
    <row r="250">
      <c r="A250" s="26"/>
      <c r="B250" s="26"/>
      <c r="C250" s="26"/>
      <c r="D250" s="26"/>
      <c r="E250" s="26"/>
    </row>
    <row r="251">
      <c r="A251" s="26"/>
      <c r="B251" s="26"/>
      <c r="C251" s="26"/>
      <c r="D251" s="26"/>
      <c r="E251" s="26"/>
    </row>
    <row r="252">
      <c r="A252" s="26"/>
      <c r="B252" s="26"/>
      <c r="C252" s="26"/>
      <c r="D252" s="26"/>
      <c r="E252" s="26"/>
    </row>
    <row r="253">
      <c r="A253" s="26"/>
      <c r="B253" s="26"/>
      <c r="C253" s="26"/>
      <c r="D253" s="26"/>
      <c r="E253" s="26"/>
    </row>
    <row r="254">
      <c r="A254" s="26"/>
      <c r="B254" s="26"/>
      <c r="C254" s="26"/>
      <c r="D254" s="26"/>
      <c r="E254" s="26"/>
    </row>
    <row r="255">
      <c r="A255" s="26"/>
      <c r="B255" s="26"/>
      <c r="C255" s="26"/>
      <c r="D255" s="26"/>
      <c r="E255" s="26"/>
    </row>
    <row r="256">
      <c r="A256" s="26"/>
      <c r="B256" s="26"/>
      <c r="C256" s="26"/>
      <c r="D256" s="26"/>
      <c r="E256" s="26"/>
    </row>
    <row r="257">
      <c r="A257" s="26"/>
      <c r="B257" s="26"/>
      <c r="C257" s="26"/>
      <c r="D257" s="26"/>
      <c r="E257" s="26"/>
    </row>
    <row r="258">
      <c r="A258" s="26"/>
      <c r="B258" s="26"/>
      <c r="C258" s="26"/>
      <c r="D258" s="26"/>
      <c r="E258" s="26"/>
    </row>
    <row r="259">
      <c r="A259" s="26"/>
      <c r="B259" s="26"/>
      <c r="C259" s="26"/>
      <c r="D259" s="26"/>
      <c r="E259" s="26"/>
    </row>
    <row r="260">
      <c r="A260" s="26"/>
      <c r="B260" s="26"/>
      <c r="C260" s="26"/>
      <c r="D260" s="26"/>
      <c r="E260" s="26"/>
    </row>
    <row r="261">
      <c r="A261" s="26"/>
      <c r="B261" s="26"/>
      <c r="C261" s="26"/>
      <c r="D261" s="26"/>
      <c r="E261" s="26"/>
    </row>
    <row r="262">
      <c r="A262" s="26"/>
      <c r="B262" s="26"/>
      <c r="C262" s="26"/>
      <c r="D262" s="26"/>
      <c r="E262" s="26"/>
    </row>
    <row r="263">
      <c r="A263" s="26"/>
      <c r="B263" s="26"/>
      <c r="C263" s="26"/>
      <c r="D263" s="26"/>
      <c r="E263" s="26"/>
    </row>
    <row r="264">
      <c r="A264" s="26"/>
      <c r="B264" s="26"/>
      <c r="C264" s="26"/>
      <c r="D264" s="26"/>
      <c r="E264" s="26"/>
    </row>
    <row r="265">
      <c r="A265" s="26"/>
      <c r="B265" s="26"/>
      <c r="C265" s="26"/>
      <c r="D265" s="26"/>
      <c r="E265" s="26"/>
    </row>
    <row r="266">
      <c r="A266" s="26"/>
      <c r="B266" s="26"/>
      <c r="C266" s="26"/>
      <c r="D266" s="26"/>
      <c r="E266" s="26"/>
    </row>
    <row r="267">
      <c r="A267" s="26"/>
      <c r="B267" s="26"/>
      <c r="C267" s="26"/>
      <c r="D267" s="26"/>
      <c r="E267" s="26"/>
    </row>
    <row r="268">
      <c r="A268" s="26"/>
      <c r="B268" s="26"/>
      <c r="C268" s="26"/>
      <c r="D268" s="26"/>
      <c r="E268" s="26"/>
    </row>
    <row r="269">
      <c r="A269" s="26"/>
      <c r="B269" s="26"/>
      <c r="C269" s="26"/>
      <c r="D269" s="26"/>
      <c r="E269" s="26"/>
    </row>
    <row r="270">
      <c r="A270" s="26"/>
      <c r="B270" s="26"/>
      <c r="C270" s="26"/>
      <c r="D270" s="26"/>
      <c r="E270" s="26"/>
    </row>
    <row r="271">
      <c r="A271" s="26"/>
      <c r="B271" s="26"/>
      <c r="C271" s="26"/>
      <c r="D271" s="26"/>
      <c r="E271" s="26"/>
    </row>
    <row r="272">
      <c r="A272" s="26"/>
      <c r="B272" s="26"/>
      <c r="C272" s="26"/>
      <c r="D272" s="26"/>
      <c r="E272" s="26"/>
    </row>
    <row r="273">
      <c r="A273" s="26"/>
      <c r="B273" s="26"/>
      <c r="C273" s="26"/>
      <c r="D273" s="26"/>
      <c r="E273" s="26"/>
    </row>
    <row r="274">
      <c r="A274" s="26"/>
      <c r="B274" s="26"/>
      <c r="C274" s="26"/>
      <c r="D274" s="26"/>
      <c r="E274" s="26"/>
    </row>
    <row r="275">
      <c r="A275" s="26"/>
      <c r="B275" s="26"/>
      <c r="C275" s="26"/>
      <c r="D275" s="26"/>
      <c r="E275" s="26"/>
    </row>
    <row r="276">
      <c r="A276" s="26"/>
      <c r="B276" s="26"/>
      <c r="C276" s="26"/>
      <c r="D276" s="26"/>
      <c r="E276" s="26"/>
    </row>
    <row r="277">
      <c r="A277" s="26"/>
      <c r="B277" s="26"/>
      <c r="C277" s="26"/>
      <c r="D277" s="26"/>
      <c r="E277" s="26"/>
    </row>
    <row r="278">
      <c r="A278" s="26"/>
      <c r="B278" s="26"/>
      <c r="C278" s="26"/>
      <c r="D278" s="26"/>
      <c r="E278" s="26"/>
    </row>
    <row r="279">
      <c r="A279" s="26"/>
      <c r="B279" s="26"/>
      <c r="C279" s="26"/>
      <c r="D279" s="26"/>
      <c r="E279" s="26"/>
    </row>
    <row r="280">
      <c r="A280" s="26"/>
      <c r="B280" s="26"/>
      <c r="C280" s="26"/>
      <c r="D280" s="26"/>
      <c r="E280" s="26"/>
    </row>
    <row r="281">
      <c r="A281" s="26"/>
      <c r="B281" s="26"/>
      <c r="C281" s="26"/>
      <c r="D281" s="26"/>
      <c r="E281" s="26"/>
    </row>
    <row r="282">
      <c r="A282" s="26"/>
      <c r="B282" s="26"/>
      <c r="C282" s="26"/>
      <c r="D282" s="26"/>
      <c r="E282" s="26"/>
    </row>
    <row r="283">
      <c r="A283" s="26"/>
      <c r="B283" s="26"/>
      <c r="C283" s="26"/>
      <c r="D283" s="26"/>
      <c r="E283" s="26"/>
    </row>
    <row r="284">
      <c r="A284" s="26"/>
      <c r="B284" s="26"/>
      <c r="C284" s="26"/>
      <c r="D284" s="26"/>
      <c r="E284" s="26"/>
    </row>
    <row r="285">
      <c r="A285" s="26"/>
      <c r="B285" s="26"/>
      <c r="C285" s="26"/>
      <c r="D285" s="26"/>
      <c r="E285" s="26"/>
    </row>
    <row r="286">
      <c r="A286" s="26"/>
      <c r="B286" s="26"/>
      <c r="C286" s="26"/>
      <c r="D286" s="26"/>
      <c r="E286" s="26"/>
    </row>
    <row r="287">
      <c r="A287" s="26"/>
      <c r="B287" s="26"/>
      <c r="C287" s="26"/>
      <c r="D287" s="26"/>
      <c r="E287" s="26"/>
    </row>
    <row r="288">
      <c r="A288" s="26"/>
      <c r="B288" s="26"/>
      <c r="C288" s="26"/>
      <c r="D288" s="26"/>
      <c r="E288" s="26"/>
    </row>
    <row r="289">
      <c r="A289" s="26"/>
      <c r="B289" s="26"/>
      <c r="C289" s="26"/>
      <c r="D289" s="26"/>
      <c r="E289" s="26"/>
    </row>
    <row r="290">
      <c r="A290" s="26"/>
      <c r="B290" s="26"/>
      <c r="C290" s="26"/>
      <c r="D290" s="26"/>
      <c r="E290" s="26"/>
    </row>
    <row r="291">
      <c r="A291" s="26"/>
      <c r="B291" s="26"/>
      <c r="C291" s="26"/>
      <c r="D291" s="26"/>
      <c r="E291" s="26"/>
    </row>
    <row r="292">
      <c r="A292" s="26"/>
      <c r="B292" s="26"/>
      <c r="C292" s="26"/>
      <c r="D292" s="26"/>
      <c r="E292" s="26"/>
    </row>
    <row r="293">
      <c r="A293" s="26"/>
      <c r="B293" s="26"/>
      <c r="C293" s="26"/>
      <c r="D293" s="26"/>
      <c r="E293" s="26"/>
    </row>
    <row r="294">
      <c r="A294" s="26"/>
      <c r="B294" s="26"/>
      <c r="C294" s="26"/>
      <c r="D294" s="26"/>
      <c r="E294" s="26"/>
    </row>
    <row r="295">
      <c r="A295" s="26"/>
      <c r="B295" s="26"/>
      <c r="C295" s="26"/>
      <c r="D295" s="26"/>
      <c r="E295" s="26"/>
    </row>
    <row r="296">
      <c r="A296" s="26"/>
      <c r="B296" s="26"/>
      <c r="C296" s="26"/>
      <c r="D296" s="26"/>
      <c r="E296" s="26"/>
    </row>
    <row r="297">
      <c r="A297" s="26"/>
      <c r="B297" s="26"/>
      <c r="C297" s="26"/>
      <c r="D297" s="26"/>
      <c r="E297" s="26"/>
    </row>
    <row r="298">
      <c r="A298" s="26"/>
      <c r="B298" s="26"/>
      <c r="C298" s="26"/>
      <c r="D298" s="26"/>
      <c r="E298" s="26"/>
    </row>
    <row r="299">
      <c r="A299" s="26"/>
      <c r="B299" s="26"/>
      <c r="C299" s="26"/>
      <c r="D299" s="26"/>
      <c r="E299" s="26"/>
    </row>
    <row r="300">
      <c r="A300" s="26"/>
      <c r="B300" s="26"/>
      <c r="C300" s="26"/>
      <c r="D300" s="26"/>
      <c r="E300" s="26"/>
    </row>
    <row r="301">
      <c r="A301" s="26"/>
      <c r="B301" s="26"/>
      <c r="C301" s="26"/>
      <c r="D301" s="26"/>
      <c r="E301" s="26"/>
    </row>
    <row r="302">
      <c r="A302" s="26"/>
      <c r="B302" s="26"/>
      <c r="C302" s="26"/>
      <c r="D302" s="26"/>
      <c r="E302" s="26"/>
    </row>
    <row r="303">
      <c r="A303" s="26"/>
      <c r="B303" s="26"/>
      <c r="C303" s="26"/>
      <c r="D303" s="26"/>
      <c r="E303" s="26"/>
    </row>
    <row r="304">
      <c r="A304" s="26"/>
      <c r="B304" s="26"/>
      <c r="C304" s="26"/>
      <c r="D304" s="26"/>
      <c r="E304" s="26"/>
    </row>
    <row r="305">
      <c r="A305" s="26"/>
      <c r="B305" s="26"/>
      <c r="C305" s="26"/>
      <c r="D305" s="26"/>
      <c r="E305" s="26"/>
    </row>
    <row r="306">
      <c r="A306" s="26"/>
      <c r="B306" s="26"/>
      <c r="C306" s="26"/>
      <c r="D306" s="26"/>
      <c r="E306" s="26"/>
    </row>
    <row r="307">
      <c r="A307" s="26"/>
      <c r="B307" s="26"/>
      <c r="C307" s="26"/>
      <c r="D307" s="26"/>
      <c r="E307" s="26"/>
    </row>
    <row r="308">
      <c r="A308" s="26"/>
      <c r="B308" s="26"/>
      <c r="C308" s="26"/>
      <c r="D308" s="26"/>
      <c r="E308" s="26"/>
    </row>
    <row r="309">
      <c r="A309" s="26"/>
      <c r="B309" s="26"/>
      <c r="C309" s="26"/>
      <c r="D309" s="26"/>
      <c r="E309" s="26"/>
    </row>
    <row r="310">
      <c r="A310" s="26"/>
      <c r="B310" s="26"/>
      <c r="C310" s="26"/>
      <c r="D310" s="26"/>
      <c r="E310" s="26"/>
    </row>
    <row r="311">
      <c r="A311" s="26"/>
      <c r="B311" s="26"/>
      <c r="C311" s="26"/>
      <c r="D311" s="26"/>
      <c r="E311" s="26"/>
    </row>
    <row r="312">
      <c r="A312" s="26"/>
      <c r="B312" s="26"/>
      <c r="C312" s="26"/>
      <c r="D312" s="26"/>
      <c r="E312" s="26"/>
    </row>
    <row r="313">
      <c r="A313" s="26"/>
      <c r="B313" s="26"/>
      <c r="C313" s="26"/>
      <c r="D313" s="26"/>
      <c r="E313" s="26"/>
    </row>
    <row r="314">
      <c r="A314" s="26"/>
      <c r="B314" s="26"/>
      <c r="C314" s="26"/>
      <c r="D314" s="26"/>
      <c r="E314" s="26"/>
    </row>
    <row r="315">
      <c r="A315" s="26"/>
      <c r="B315" s="26"/>
      <c r="C315" s="26"/>
      <c r="D315" s="26"/>
      <c r="E315" s="26"/>
    </row>
    <row r="316">
      <c r="A316" s="26"/>
      <c r="B316" s="26"/>
      <c r="C316" s="26"/>
      <c r="D316" s="26"/>
      <c r="E316" s="26"/>
    </row>
    <row r="317">
      <c r="A317" s="26"/>
      <c r="B317" s="26"/>
      <c r="C317" s="26"/>
      <c r="D317" s="26"/>
      <c r="E317" s="26"/>
    </row>
    <row r="318">
      <c r="A318" s="26"/>
      <c r="B318" s="26"/>
      <c r="C318" s="26"/>
      <c r="D318" s="26"/>
      <c r="E318" s="26"/>
    </row>
    <row r="319">
      <c r="A319" s="26"/>
      <c r="B319" s="26"/>
      <c r="C319" s="26"/>
      <c r="D319" s="26"/>
      <c r="E319" s="26"/>
    </row>
    <row r="320">
      <c r="A320" s="26"/>
      <c r="B320" s="26"/>
      <c r="C320" s="26"/>
      <c r="D320" s="26"/>
      <c r="E320" s="26"/>
    </row>
    <row r="321">
      <c r="A321" s="26"/>
      <c r="B321" s="26"/>
      <c r="C321" s="26"/>
      <c r="D321" s="26"/>
      <c r="E321" s="26"/>
    </row>
    <row r="322">
      <c r="A322" s="26"/>
      <c r="B322" s="26"/>
      <c r="C322" s="26"/>
      <c r="D322" s="26"/>
      <c r="E322" s="26"/>
    </row>
    <row r="323">
      <c r="A323" s="26"/>
      <c r="B323" s="26"/>
      <c r="C323" s="26"/>
      <c r="D323" s="26"/>
      <c r="E323" s="26"/>
    </row>
    <row r="324">
      <c r="A324" s="26"/>
      <c r="B324" s="26"/>
      <c r="C324" s="26"/>
      <c r="D324" s="26"/>
      <c r="E324" s="26"/>
    </row>
    <row r="325">
      <c r="A325" s="26"/>
      <c r="B325" s="26"/>
      <c r="C325" s="26"/>
      <c r="D325" s="26"/>
      <c r="E325" s="26"/>
    </row>
    <row r="326">
      <c r="A326" s="26"/>
      <c r="B326" s="26"/>
      <c r="C326" s="26"/>
      <c r="D326" s="26"/>
      <c r="E326" s="26"/>
    </row>
    <row r="327">
      <c r="A327" s="26"/>
      <c r="B327" s="26"/>
      <c r="C327" s="26"/>
      <c r="D327" s="26"/>
      <c r="E327" s="26"/>
    </row>
    <row r="328">
      <c r="A328" s="26"/>
      <c r="B328" s="26"/>
      <c r="C328" s="26"/>
      <c r="D328" s="26"/>
      <c r="E328" s="26"/>
    </row>
    <row r="329">
      <c r="A329" s="26"/>
      <c r="B329" s="26"/>
      <c r="C329" s="26"/>
      <c r="D329" s="26"/>
      <c r="E329" s="26"/>
    </row>
    <row r="330">
      <c r="A330" s="26"/>
      <c r="B330" s="26"/>
      <c r="C330" s="26"/>
      <c r="D330" s="26"/>
      <c r="E330" s="26"/>
    </row>
    <row r="331">
      <c r="A331" s="26"/>
      <c r="B331" s="26"/>
      <c r="C331" s="26"/>
      <c r="D331" s="26"/>
      <c r="E331" s="26"/>
    </row>
    <row r="332">
      <c r="A332" s="26"/>
      <c r="B332" s="26"/>
      <c r="C332" s="26"/>
      <c r="D332" s="26"/>
      <c r="E332" s="26"/>
    </row>
    <row r="333">
      <c r="A333" s="26"/>
      <c r="B333" s="26"/>
      <c r="C333" s="26"/>
      <c r="D333" s="26"/>
      <c r="E333" s="26"/>
    </row>
    <row r="334">
      <c r="A334" s="26"/>
      <c r="B334" s="26"/>
      <c r="C334" s="26"/>
      <c r="D334" s="26"/>
      <c r="E334" s="26"/>
    </row>
    <row r="335">
      <c r="A335" s="26"/>
      <c r="B335" s="26"/>
      <c r="C335" s="26"/>
      <c r="D335" s="26"/>
      <c r="E335" s="26"/>
    </row>
    <row r="336">
      <c r="A336" s="26"/>
      <c r="B336" s="26"/>
      <c r="C336" s="26"/>
      <c r="D336" s="26"/>
      <c r="E336" s="26"/>
    </row>
    <row r="337">
      <c r="A337" s="26"/>
      <c r="B337" s="26"/>
      <c r="C337" s="26"/>
      <c r="D337" s="26"/>
      <c r="E337" s="26"/>
    </row>
    <row r="338">
      <c r="A338" s="26"/>
      <c r="B338" s="26"/>
      <c r="C338" s="26"/>
      <c r="D338" s="26"/>
      <c r="E338" s="26"/>
    </row>
    <row r="339">
      <c r="A339" s="26"/>
      <c r="B339" s="26"/>
      <c r="C339" s="26"/>
      <c r="D339" s="26"/>
      <c r="E339" s="26"/>
    </row>
    <row r="340">
      <c r="A340" s="26"/>
      <c r="B340" s="26"/>
      <c r="C340" s="26"/>
      <c r="D340" s="26"/>
      <c r="E340" s="26"/>
    </row>
    <row r="341">
      <c r="A341" s="26"/>
      <c r="B341" s="26"/>
      <c r="C341" s="26"/>
      <c r="D341" s="26"/>
      <c r="E341" s="26"/>
    </row>
    <row r="342">
      <c r="A342" s="26"/>
      <c r="B342" s="26"/>
      <c r="C342" s="26"/>
      <c r="D342" s="26"/>
      <c r="E342" s="26"/>
    </row>
    <row r="343">
      <c r="A343" s="26"/>
      <c r="B343" s="26"/>
      <c r="C343" s="26"/>
      <c r="D343" s="26"/>
      <c r="E343" s="26"/>
    </row>
    <row r="344">
      <c r="A344" s="26"/>
      <c r="B344" s="26"/>
      <c r="C344" s="26"/>
      <c r="D344" s="26"/>
      <c r="E344" s="26"/>
    </row>
    <row r="345">
      <c r="A345" s="26"/>
      <c r="B345" s="26"/>
      <c r="C345" s="26"/>
      <c r="D345" s="26"/>
      <c r="E345" s="26"/>
    </row>
    <row r="346">
      <c r="A346" s="26"/>
      <c r="B346" s="26"/>
      <c r="C346" s="26"/>
      <c r="D346" s="26"/>
      <c r="E346" s="26"/>
    </row>
    <row r="347">
      <c r="A347" s="26"/>
      <c r="B347" s="26"/>
      <c r="C347" s="26"/>
      <c r="D347" s="26"/>
      <c r="E347" s="26"/>
    </row>
    <row r="348">
      <c r="A348" s="26"/>
      <c r="B348" s="26"/>
      <c r="C348" s="26"/>
      <c r="D348" s="26"/>
      <c r="E348" s="26"/>
    </row>
    <row r="349">
      <c r="A349" s="26"/>
      <c r="B349" s="26"/>
      <c r="C349" s="26"/>
      <c r="D349" s="26"/>
      <c r="E349" s="26"/>
    </row>
    <row r="350">
      <c r="A350" s="26"/>
      <c r="B350" s="26"/>
      <c r="C350" s="26"/>
      <c r="D350" s="26"/>
      <c r="E350" s="26"/>
    </row>
    <row r="351">
      <c r="A351" s="26"/>
      <c r="B351" s="26"/>
      <c r="C351" s="26"/>
      <c r="D351" s="26"/>
      <c r="E351" s="26"/>
    </row>
    <row r="352">
      <c r="A352" s="26"/>
      <c r="B352" s="26"/>
      <c r="C352" s="26"/>
      <c r="D352" s="26"/>
      <c r="E352" s="26"/>
    </row>
    <row r="353">
      <c r="A353" s="26"/>
      <c r="B353" s="26"/>
      <c r="C353" s="26"/>
      <c r="D353" s="26"/>
      <c r="E353" s="26"/>
    </row>
    <row r="354">
      <c r="A354" s="26"/>
      <c r="B354" s="26"/>
      <c r="C354" s="26"/>
      <c r="D354" s="26"/>
      <c r="E354" s="26"/>
    </row>
    <row r="355">
      <c r="A355" s="26"/>
      <c r="B355" s="26"/>
      <c r="C355" s="26"/>
      <c r="D355" s="26"/>
      <c r="E355" s="26"/>
    </row>
    <row r="356">
      <c r="A356" s="26"/>
      <c r="B356" s="26"/>
      <c r="C356" s="26"/>
      <c r="D356" s="26"/>
      <c r="E356" s="26"/>
    </row>
    <row r="357">
      <c r="A357" s="26"/>
      <c r="B357" s="26"/>
      <c r="C357" s="26"/>
      <c r="D357" s="26"/>
      <c r="E357" s="26"/>
    </row>
    <row r="358">
      <c r="A358" s="26"/>
      <c r="B358" s="26"/>
      <c r="C358" s="26"/>
      <c r="D358" s="26"/>
      <c r="E358" s="26"/>
    </row>
    <row r="359">
      <c r="A359" s="26"/>
      <c r="B359" s="26"/>
      <c r="C359" s="26"/>
      <c r="D359" s="26"/>
      <c r="E359" s="26"/>
    </row>
    <row r="360">
      <c r="A360" s="26"/>
      <c r="B360" s="26"/>
      <c r="C360" s="26"/>
      <c r="D360" s="26"/>
      <c r="E360" s="26"/>
    </row>
    <row r="361">
      <c r="A361" s="26"/>
      <c r="B361" s="26"/>
      <c r="C361" s="26"/>
      <c r="D361" s="26"/>
      <c r="E361" s="26"/>
    </row>
    <row r="362">
      <c r="A362" s="26"/>
      <c r="B362" s="26"/>
      <c r="C362" s="26"/>
      <c r="D362" s="26"/>
      <c r="E362" s="26"/>
    </row>
    <row r="363">
      <c r="A363" s="26"/>
      <c r="B363" s="26"/>
      <c r="C363" s="26"/>
      <c r="D363" s="26"/>
      <c r="E363" s="26"/>
    </row>
    <row r="364">
      <c r="A364" s="26"/>
      <c r="B364" s="26"/>
      <c r="C364" s="26"/>
      <c r="D364" s="26"/>
      <c r="E364" s="26"/>
    </row>
    <row r="365">
      <c r="A365" s="26"/>
      <c r="B365" s="26"/>
      <c r="C365" s="26"/>
      <c r="D365" s="26"/>
      <c r="E365" s="26"/>
    </row>
    <row r="366">
      <c r="A366" s="26"/>
      <c r="B366" s="26"/>
      <c r="C366" s="26"/>
      <c r="D366" s="26"/>
      <c r="E366" s="26"/>
    </row>
    <row r="367">
      <c r="A367" s="26"/>
      <c r="B367" s="26"/>
      <c r="C367" s="26"/>
      <c r="D367" s="26"/>
      <c r="E367" s="26"/>
    </row>
    <row r="368">
      <c r="A368" s="26"/>
      <c r="B368" s="26"/>
      <c r="C368" s="26"/>
      <c r="D368" s="26"/>
      <c r="E368" s="26"/>
    </row>
    <row r="369">
      <c r="A369" s="26"/>
      <c r="B369" s="26"/>
      <c r="C369" s="26"/>
      <c r="D369" s="26"/>
      <c r="E369" s="26"/>
    </row>
    <row r="370">
      <c r="A370" s="26"/>
      <c r="B370" s="26"/>
      <c r="C370" s="26"/>
      <c r="D370" s="26"/>
      <c r="E370" s="26"/>
    </row>
    <row r="371">
      <c r="A371" s="26"/>
      <c r="B371" s="26"/>
      <c r="C371" s="26"/>
      <c r="D371" s="26"/>
      <c r="E371" s="26"/>
    </row>
    <row r="372">
      <c r="A372" s="26"/>
      <c r="B372" s="26"/>
      <c r="C372" s="26"/>
      <c r="D372" s="26"/>
      <c r="E372" s="26"/>
    </row>
    <row r="373">
      <c r="A373" s="26"/>
      <c r="B373" s="26"/>
      <c r="C373" s="26"/>
      <c r="D373" s="26"/>
      <c r="E373" s="26"/>
    </row>
    <row r="374">
      <c r="A374" s="26"/>
      <c r="B374" s="26"/>
      <c r="C374" s="26"/>
      <c r="D374" s="26"/>
      <c r="E374" s="26"/>
    </row>
    <row r="375">
      <c r="A375" s="26"/>
      <c r="B375" s="26"/>
      <c r="C375" s="26"/>
      <c r="D375" s="26"/>
      <c r="E375" s="26"/>
    </row>
    <row r="376">
      <c r="A376" s="26"/>
      <c r="B376" s="26"/>
      <c r="C376" s="26"/>
      <c r="D376" s="26"/>
      <c r="E376" s="26"/>
    </row>
    <row r="377">
      <c r="A377" s="26"/>
      <c r="B377" s="26"/>
      <c r="C377" s="26"/>
      <c r="D377" s="26"/>
      <c r="E377" s="26"/>
    </row>
    <row r="378">
      <c r="A378" s="26"/>
      <c r="B378" s="26"/>
      <c r="C378" s="26"/>
      <c r="D378" s="26"/>
      <c r="E378" s="26"/>
    </row>
    <row r="379">
      <c r="A379" s="26"/>
      <c r="B379" s="26"/>
      <c r="C379" s="26"/>
      <c r="D379" s="26"/>
      <c r="E379" s="26"/>
    </row>
    <row r="380">
      <c r="A380" s="26"/>
      <c r="B380" s="26"/>
      <c r="C380" s="26"/>
      <c r="D380" s="26"/>
      <c r="E380" s="26"/>
    </row>
    <row r="381">
      <c r="A381" s="26"/>
      <c r="B381" s="26"/>
      <c r="C381" s="26"/>
      <c r="D381" s="26"/>
      <c r="E381" s="26"/>
    </row>
    <row r="382">
      <c r="A382" s="26"/>
      <c r="B382" s="26"/>
      <c r="C382" s="26"/>
      <c r="D382" s="26"/>
      <c r="E382" s="26"/>
    </row>
    <row r="383">
      <c r="A383" s="26"/>
      <c r="B383" s="26"/>
      <c r="C383" s="26"/>
      <c r="D383" s="26"/>
      <c r="E383" s="26"/>
    </row>
    <row r="384">
      <c r="A384" s="26"/>
      <c r="B384" s="26"/>
      <c r="C384" s="26"/>
      <c r="D384" s="26"/>
      <c r="E384" s="26"/>
    </row>
    <row r="385">
      <c r="A385" s="26"/>
      <c r="B385" s="26"/>
      <c r="C385" s="26"/>
      <c r="D385" s="26"/>
      <c r="E385" s="26"/>
    </row>
    <row r="386">
      <c r="A386" s="26"/>
      <c r="B386" s="26"/>
      <c r="C386" s="26"/>
      <c r="D386" s="26"/>
      <c r="E386" s="26"/>
    </row>
    <row r="387">
      <c r="A387" s="26"/>
      <c r="B387" s="26"/>
      <c r="C387" s="26"/>
      <c r="D387" s="26"/>
      <c r="E387" s="26"/>
    </row>
    <row r="388">
      <c r="A388" s="26"/>
      <c r="B388" s="26"/>
      <c r="C388" s="26"/>
      <c r="D388" s="26"/>
      <c r="E388" s="26"/>
    </row>
    <row r="389">
      <c r="A389" s="26"/>
      <c r="B389" s="26"/>
      <c r="C389" s="26"/>
      <c r="D389" s="26"/>
      <c r="E389" s="26"/>
    </row>
    <row r="390">
      <c r="A390" s="26"/>
      <c r="B390" s="26"/>
      <c r="C390" s="26"/>
      <c r="D390" s="26"/>
      <c r="E390" s="26"/>
    </row>
    <row r="391">
      <c r="A391" s="26"/>
      <c r="B391" s="26"/>
      <c r="C391" s="26"/>
      <c r="D391" s="26"/>
      <c r="E391" s="26"/>
    </row>
    <row r="392">
      <c r="A392" s="26"/>
      <c r="B392" s="26"/>
      <c r="C392" s="26"/>
      <c r="D392" s="26"/>
      <c r="E392" s="26"/>
    </row>
    <row r="393">
      <c r="A393" s="26"/>
      <c r="B393" s="26"/>
      <c r="C393" s="26"/>
      <c r="D393" s="26"/>
      <c r="E393" s="26"/>
    </row>
    <row r="394">
      <c r="A394" s="26"/>
      <c r="B394" s="26"/>
      <c r="C394" s="26"/>
      <c r="D394" s="26"/>
      <c r="E394" s="26"/>
    </row>
    <row r="395">
      <c r="A395" s="26"/>
      <c r="B395" s="26"/>
      <c r="C395" s="26"/>
      <c r="D395" s="26"/>
      <c r="E395" s="26"/>
    </row>
    <row r="396">
      <c r="A396" s="26"/>
      <c r="B396" s="26"/>
      <c r="C396" s="26"/>
      <c r="D396" s="26"/>
      <c r="E396" s="26"/>
    </row>
    <row r="397">
      <c r="A397" s="26"/>
      <c r="B397" s="26"/>
      <c r="C397" s="26"/>
      <c r="D397" s="26"/>
      <c r="E397" s="26"/>
    </row>
    <row r="398">
      <c r="A398" s="26"/>
      <c r="B398" s="26"/>
      <c r="C398" s="26"/>
      <c r="D398" s="26"/>
      <c r="E398" s="26"/>
    </row>
    <row r="399">
      <c r="A399" s="26"/>
      <c r="B399" s="26"/>
      <c r="C399" s="26"/>
      <c r="D399" s="26"/>
      <c r="E399" s="26"/>
    </row>
    <row r="400">
      <c r="A400" s="26"/>
      <c r="B400" s="26"/>
      <c r="C400" s="26"/>
      <c r="D400" s="26"/>
      <c r="E400" s="26"/>
    </row>
    <row r="401">
      <c r="A401" s="26"/>
      <c r="B401" s="26"/>
      <c r="C401" s="26"/>
      <c r="D401" s="26"/>
      <c r="E401" s="26"/>
    </row>
    <row r="402">
      <c r="A402" s="26"/>
      <c r="B402" s="26"/>
      <c r="C402" s="26"/>
      <c r="D402" s="26"/>
      <c r="E402" s="26"/>
    </row>
    <row r="403">
      <c r="A403" s="26"/>
      <c r="B403" s="26"/>
      <c r="C403" s="26"/>
      <c r="D403" s="26"/>
      <c r="E403" s="26"/>
    </row>
    <row r="404">
      <c r="A404" s="26"/>
      <c r="B404" s="26"/>
      <c r="C404" s="26"/>
      <c r="D404" s="26"/>
      <c r="E404" s="26"/>
    </row>
    <row r="405">
      <c r="A405" s="26"/>
      <c r="B405" s="26"/>
      <c r="C405" s="26"/>
      <c r="D405" s="26"/>
      <c r="E405" s="26"/>
    </row>
    <row r="406">
      <c r="A406" s="26"/>
      <c r="B406" s="26"/>
      <c r="C406" s="26"/>
      <c r="D406" s="26"/>
      <c r="E406" s="26"/>
    </row>
    <row r="407">
      <c r="A407" s="26"/>
      <c r="B407" s="26"/>
      <c r="C407" s="26"/>
      <c r="D407" s="26"/>
      <c r="E407" s="26"/>
    </row>
    <row r="408">
      <c r="A408" s="26"/>
      <c r="B408" s="26"/>
      <c r="C408" s="26"/>
      <c r="D408" s="26"/>
      <c r="E408" s="26"/>
    </row>
    <row r="409">
      <c r="A409" s="26"/>
      <c r="B409" s="26"/>
      <c r="C409" s="26"/>
      <c r="D409" s="26"/>
      <c r="E409" s="26"/>
    </row>
    <row r="410">
      <c r="A410" s="26"/>
      <c r="B410" s="26"/>
      <c r="C410" s="26"/>
      <c r="D410" s="26"/>
      <c r="E410" s="26"/>
    </row>
    <row r="411">
      <c r="A411" s="26"/>
      <c r="B411" s="26"/>
      <c r="C411" s="26"/>
      <c r="D411" s="26"/>
      <c r="E411" s="26"/>
    </row>
    <row r="412">
      <c r="A412" s="26"/>
      <c r="B412" s="26"/>
      <c r="C412" s="26"/>
      <c r="D412" s="26"/>
      <c r="E412" s="26"/>
    </row>
    <row r="413">
      <c r="A413" s="26"/>
      <c r="B413" s="26"/>
      <c r="C413" s="26"/>
      <c r="D413" s="26"/>
      <c r="E413" s="26"/>
    </row>
    <row r="414">
      <c r="A414" s="26"/>
      <c r="B414" s="26"/>
      <c r="C414" s="26"/>
      <c r="D414" s="26"/>
      <c r="E414" s="26"/>
    </row>
    <row r="415">
      <c r="A415" s="26"/>
      <c r="B415" s="26"/>
      <c r="C415" s="26"/>
      <c r="D415" s="26"/>
      <c r="E415" s="26"/>
    </row>
    <row r="416">
      <c r="A416" s="26"/>
      <c r="B416" s="26"/>
      <c r="C416" s="26"/>
      <c r="D416" s="26"/>
      <c r="E416" s="26"/>
    </row>
    <row r="417">
      <c r="A417" s="26"/>
      <c r="B417" s="26"/>
      <c r="C417" s="26"/>
      <c r="D417" s="26"/>
      <c r="E417" s="26"/>
    </row>
    <row r="418">
      <c r="A418" s="26"/>
      <c r="B418" s="26"/>
      <c r="C418" s="26"/>
      <c r="D418" s="26"/>
      <c r="E418" s="26"/>
    </row>
    <row r="419">
      <c r="A419" s="26"/>
      <c r="B419" s="26"/>
      <c r="C419" s="26"/>
      <c r="D419" s="26"/>
      <c r="E419" s="26"/>
    </row>
    <row r="420">
      <c r="A420" s="26"/>
      <c r="B420" s="26"/>
      <c r="C420" s="26"/>
      <c r="D420" s="26"/>
      <c r="E420" s="26"/>
    </row>
    <row r="421">
      <c r="A421" s="26"/>
      <c r="B421" s="26"/>
      <c r="C421" s="26"/>
      <c r="D421" s="26"/>
      <c r="E421" s="26"/>
    </row>
    <row r="422">
      <c r="A422" s="26"/>
      <c r="B422" s="26"/>
      <c r="C422" s="26"/>
      <c r="D422" s="26"/>
      <c r="E422" s="26"/>
    </row>
    <row r="423">
      <c r="A423" s="26"/>
      <c r="B423" s="26"/>
      <c r="C423" s="26"/>
      <c r="D423" s="26"/>
      <c r="E423" s="26"/>
    </row>
    <row r="424">
      <c r="A424" s="26"/>
      <c r="B424" s="26"/>
      <c r="C424" s="26"/>
      <c r="D424" s="26"/>
      <c r="E424" s="26"/>
    </row>
    <row r="425">
      <c r="A425" s="26"/>
      <c r="B425" s="26"/>
      <c r="C425" s="26"/>
      <c r="D425" s="26"/>
      <c r="E425" s="26"/>
    </row>
    <row r="426">
      <c r="A426" s="26"/>
      <c r="B426" s="26"/>
      <c r="C426" s="26"/>
      <c r="D426" s="26"/>
      <c r="E426" s="26"/>
    </row>
    <row r="427">
      <c r="A427" s="26"/>
      <c r="B427" s="26"/>
      <c r="C427" s="26"/>
      <c r="D427" s="26"/>
      <c r="E427" s="26"/>
    </row>
    <row r="428">
      <c r="A428" s="26"/>
      <c r="B428" s="26"/>
      <c r="C428" s="26"/>
      <c r="D428" s="26"/>
      <c r="E428" s="26"/>
    </row>
    <row r="429">
      <c r="A429" s="26"/>
      <c r="B429" s="26"/>
      <c r="C429" s="26"/>
      <c r="D429" s="26"/>
      <c r="E429" s="26"/>
    </row>
    <row r="430">
      <c r="A430" s="26"/>
      <c r="B430" s="26"/>
      <c r="C430" s="26"/>
      <c r="D430" s="26"/>
      <c r="E430" s="26"/>
    </row>
    <row r="431">
      <c r="A431" s="26"/>
      <c r="B431" s="26"/>
      <c r="C431" s="26"/>
      <c r="D431" s="26"/>
      <c r="E431" s="26"/>
    </row>
    <row r="432">
      <c r="A432" s="26"/>
      <c r="B432" s="26"/>
      <c r="C432" s="26"/>
      <c r="D432" s="26"/>
      <c r="E432" s="26"/>
    </row>
    <row r="433">
      <c r="A433" s="26"/>
      <c r="B433" s="26"/>
      <c r="C433" s="26"/>
      <c r="D433" s="26"/>
      <c r="E433" s="26"/>
    </row>
    <row r="434">
      <c r="A434" s="26"/>
      <c r="B434" s="26"/>
      <c r="C434" s="26"/>
      <c r="D434" s="26"/>
      <c r="E434" s="26"/>
    </row>
    <row r="435">
      <c r="A435" s="26"/>
      <c r="B435" s="26"/>
      <c r="C435" s="26"/>
      <c r="D435" s="26"/>
      <c r="E435" s="26"/>
    </row>
    <row r="436">
      <c r="A436" s="26"/>
      <c r="B436" s="26"/>
      <c r="C436" s="26"/>
      <c r="D436" s="26"/>
      <c r="E436" s="26"/>
    </row>
    <row r="437">
      <c r="A437" s="26"/>
      <c r="B437" s="26"/>
      <c r="C437" s="26"/>
      <c r="D437" s="26"/>
      <c r="E437" s="26"/>
    </row>
    <row r="438">
      <c r="A438" s="26"/>
      <c r="B438" s="26"/>
      <c r="C438" s="26"/>
      <c r="D438" s="26"/>
      <c r="E438" s="26"/>
    </row>
    <row r="439">
      <c r="A439" s="26"/>
      <c r="B439" s="26"/>
      <c r="C439" s="26"/>
      <c r="D439" s="26"/>
      <c r="E439" s="26"/>
    </row>
    <row r="440">
      <c r="A440" s="26"/>
      <c r="B440" s="26"/>
      <c r="C440" s="26"/>
      <c r="D440" s="26"/>
      <c r="E440" s="26"/>
    </row>
    <row r="441">
      <c r="A441" s="26"/>
      <c r="B441" s="26"/>
      <c r="C441" s="26"/>
      <c r="D441" s="26"/>
      <c r="E441" s="26"/>
    </row>
    <row r="442">
      <c r="A442" s="26"/>
      <c r="B442" s="26"/>
      <c r="C442" s="26"/>
      <c r="D442" s="26"/>
      <c r="E442" s="26"/>
    </row>
    <row r="443">
      <c r="A443" s="26"/>
      <c r="B443" s="26"/>
      <c r="C443" s="26"/>
      <c r="D443" s="26"/>
      <c r="E443" s="26"/>
    </row>
    <row r="444">
      <c r="A444" s="26"/>
      <c r="B444" s="26"/>
      <c r="C444" s="26"/>
      <c r="D444" s="26"/>
      <c r="E444" s="26"/>
    </row>
    <row r="445">
      <c r="A445" s="26"/>
      <c r="B445" s="26"/>
      <c r="C445" s="26"/>
      <c r="D445" s="26"/>
      <c r="E445" s="26"/>
    </row>
    <row r="446">
      <c r="A446" s="26"/>
      <c r="B446" s="26"/>
      <c r="C446" s="26"/>
      <c r="D446" s="26"/>
      <c r="E446" s="26"/>
    </row>
    <row r="447">
      <c r="A447" s="26"/>
      <c r="B447" s="26"/>
      <c r="C447" s="26"/>
      <c r="D447" s="26"/>
      <c r="E447" s="26"/>
    </row>
    <row r="448">
      <c r="A448" s="26"/>
      <c r="B448" s="26"/>
      <c r="C448" s="26"/>
      <c r="D448" s="26"/>
      <c r="E448" s="26"/>
    </row>
    <row r="449">
      <c r="A449" s="26"/>
      <c r="B449" s="26"/>
      <c r="C449" s="26"/>
      <c r="D449" s="26"/>
      <c r="E449" s="26"/>
    </row>
    <row r="450">
      <c r="A450" s="26"/>
      <c r="B450" s="26"/>
      <c r="C450" s="26"/>
      <c r="D450" s="26"/>
      <c r="E450" s="26"/>
    </row>
    <row r="451">
      <c r="A451" s="26"/>
      <c r="B451" s="26"/>
      <c r="C451" s="26"/>
      <c r="D451" s="26"/>
      <c r="E451" s="26"/>
    </row>
    <row r="452">
      <c r="A452" s="26"/>
      <c r="B452" s="26"/>
      <c r="C452" s="26"/>
      <c r="D452" s="26"/>
      <c r="E452" s="26"/>
    </row>
    <row r="453">
      <c r="A453" s="26"/>
      <c r="B453" s="26"/>
      <c r="C453" s="26"/>
      <c r="D453" s="26"/>
      <c r="E453" s="26"/>
    </row>
    <row r="454">
      <c r="A454" s="26"/>
      <c r="B454" s="26"/>
      <c r="C454" s="26"/>
      <c r="D454" s="26"/>
      <c r="E454" s="26"/>
    </row>
    <row r="455">
      <c r="A455" s="26"/>
      <c r="B455" s="26"/>
      <c r="C455" s="26"/>
      <c r="D455" s="26"/>
      <c r="E455" s="26"/>
    </row>
    <row r="456">
      <c r="A456" s="26"/>
      <c r="B456" s="26"/>
      <c r="C456" s="26"/>
      <c r="D456" s="26"/>
      <c r="E456" s="26"/>
    </row>
    <row r="457">
      <c r="A457" s="26"/>
      <c r="B457" s="26"/>
      <c r="C457" s="26"/>
      <c r="D457" s="26"/>
      <c r="E457" s="26"/>
    </row>
    <row r="458">
      <c r="A458" s="26"/>
      <c r="B458" s="26"/>
      <c r="C458" s="26"/>
      <c r="D458" s="26"/>
      <c r="E458" s="26"/>
    </row>
    <row r="459">
      <c r="A459" s="26"/>
      <c r="B459" s="26"/>
      <c r="C459" s="26"/>
      <c r="D459" s="26"/>
      <c r="E459" s="26"/>
    </row>
    <row r="460">
      <c r="A460" s="26"/>
      <c r="B460" s="26"/>
      <c r="C460" s="26"/>
      <c r="D460" s="26"/>
      <c r="E460" s="26"/>
    </row>
    <row r="461">
      <c r="A461" s="26"/>
      <c r="B461" s="26"/>
      <c r="C461" s="26"/>
      <c r="D461" s="26"/>
      <c r="E461" s="26"/>
    </row>
    <row r="462">
      <c r="A462" s="26"/>
      <c r="B462" s="26"/>
      <c r="C462" s="26"/>
      <c r="D462" s="26"/>
      <c r="E462" s="26"/>
    </row>
    <row r="463">
      <c r="A463" s="26"/>
      <c r="B463" s="26"/>
      <c r="C463" s="26"/>
      <c r="D463" s="26"/>
      <c r="E463" s="26"/>
    </row>
    <row r="464">
      <c r="A464" s="26"/>
      <c r="B464" s="26"/>
      <c r="C464" s="26"/>
      <c r="D464" s="26"/>
      <c r="E464" s="26"/>
    </row>
    <row r="465">
      <c r="A465" s="26"/>
      <c r="B465" s="26"/>
      <c r="C465" s="26"/>
      <c r="D465" s="26"/>
      <c r="E465" s="26"/>
    </row>
    <row r="466">
      <c r="A466" s="26"/>
      <c r="B466" s="26"/>
      <c r="C466" s="26"/>
      <c r="D466" s="26"/>
      <c r="E466" s="26"/>
    </row>
    <row r="467">
      <c r="A467" s="26"/>
      <c r="B467" s="26"/>
      <c r="C467" s="26"/>
      <c r="D467" s="26"/>
      <c r="E467" s="26"/>
    </row>
    <row r="468">
      <c r="A468" s="26"/>
      <c r="B468" s="26"/>
      <c r="C468" s="26"/>
      <c r="D468" s="26"/>
      <c r="E468" s="26"/>
    </row>
    <row r="469">
      <c r="A469" s="26"/>
      <c r="B469" s="26"/>
      <c r="C469" s="26"/>
      <c r="D469" s="26"/>
      <c r="E469" s="26"/>
    </row>
    <row r="470">
      <c r="A470" s="26"/>
      <c r="B470" s="26"/>
      <c r="C470" s="26"/>
      <c r="D470" s="26"/>
      <c r="E470" s="26"/>
    </row>
    <row r="471">
      <c r="A471" s="26"/>
      <c r="B471" s="26"/>
      <c r="C471" s="26"/>
      <c r="D471" s="26"/>
      <c r="E471" s="26"/>
    </row>
    <row r="472">
      <c r="A472" s="26"/>
      <c r="B472" s="26"/>
      <c r="C472" s="26"/>
      <c r="D472" s="26"/>
      <c r="E472" s="26"/>
    </row>
    <row r="473">
      <c r="A473" s="26"/>
      <c r="B473" s="26"/>
      <c r="C473" s="26"/>
      <c r="D473" s="26"/>
      <c r="E473" s="26"/>
    </row>
    <row r="474">
      <c r="A474" s="26"/>
      <c r="B474" s="26"/>
      <c r="C474" s="26"/>
      <c r="D474" s="26"/>
      <c r="E474" s="26"/>
    </row>
    <row r="475">
      <c r="A475" s="26"/>
      <c r="B475" s="26"/>
      <c r="C475" s="26"/>
      <c r="D475" s="26"/>
      <c r="E475" s="26"/>
    </row>
    <row r="476">
      <c r="A476" s="26"/>
      <c r="B476" s="26"/>
      <c r="C476" s="26"/>
      <c r="D476" s="26"/>
      <c r="E476" s="26"/>
    </row>
    <row r="477">
      <c r="A477" s="26"/>
      <c r="B477" s="26"/>
      <c r="C477" s="26"/>
      <c r="D477" s="26"/>
      <c r="E477" s="26"/>
    </row>
    <row r="478">
      <c r="A478" s="26"/>
      <c r="B478" s="26"/>
      <c r="C478" s="26"/>
      <c r="D478" s="26"/>
      <c r="E478" s="26"/>
    </row>
    <row r="479">
      <c r="A479" s="26"/>
      <c r="B479" s="26"/>
      <c r="C479" s="26"/>
      <c r="D479" s="26"/>
      <c r="E479" s="26"/>
    </row>
    <row r="480">
      <c r="A480" s="26"/>
      <c r="B480" s="26"/>
      <c r="C480" s="26"/>
      <c r="D480" s="26"/>
      <c r="E480" s="26"/>
    </row>
    <row r="481">
      <c r="A481" s="26"/>
      <c r="B481" s="26"/>
      <c r="C481" s="26"/>
      <c r="D481" s="26"/>
      <c r="E481" s="26"/>
    </row>
    <row r="482">
      <c r="A482" s="26"/>
      <c r="B482" s="26"/>
      <c r="C482" s="26"/>
      <c r="D482" s="26"/>
      <c r="E482" s="26"/>
    </row>
    <row r="483">
      <c r="A483" s="26"/>
      <c r="B483" s="26"/>
      <c r="C483" s="26"/>
      <c r="D483" s="26"/>
      <c r="E483" s="26"/>
    </row>
    <row r="484">
      <c r="A484" s="26"/>
      <c r="B484" s="26"/>
      <c r="C484" s="26"/>
      <c r="D484" s="26"/>
      <c r="E484" s="26"/>
    </row>
    <row r="485">
      <c r="A485" s="26"/>
      <c r="B485" s="26"/>
      <c r="C485" s="26"/>
      <c r="D485" s="26"/>
      <c r="E485" s="26"/>
    </row>
    <row r="486">
      <c r="A486" s="26"/>
      <c r="B486" s="26"/>
      <c r="C486" s="26"/>
      <c r="D486" s="26"/>
      <c r="E486" s="26"/>
    </row>
    <row r="487">
      <c r="A487" s="26"/>
      <c r="B487" s="26"/>
      <c r="C487" s="26"/>
      <c r="D487" s="26"/>
      <c r="E487" s="26"/>
    </row>
    <row r="488">
      <c r="A488" s="26"/>
      <c r="B488" s="26"/>
      <c r="C488" s="26"/>
      <c r="D488" s="26"/>
      <c r="E488" s="26"/>
    </row>
    <row r="489">
      <c r="A489" s="26"/>
      <c r="B489" s="26"/>
      <c r="C489" s="26"/>
      <c r="D489" s="26"/>
      <c r="E489" s="26"/>
    </row>
    <row r="490">
      <c r="A490" s="26"/>
      <c r="B490" s="26"/>
      <c r="C490" s="26"/>
      <c r="D490" s="26"/>
      <c r="E490" s="26"/>
    </row>
    <row r="491">
      <c r="A491" s="26"/>
      <c r="B491" s="26"/>
      <c r="C491" s="26"/>
      <c r="D491" s="26"/>
      <c r="E491" s="26"/>
    </row>
    <row r="492">
      <c r="A492" s="26"/>
      <c r="B492" s="26"/>
      <c r="C492" s="26"/>
      <c r="D492" s="26"/>
      <c r="E492" s="26"/>
    </row>
    <row r="493">
      <c r="A493" s="26"/>
      <c r="B493" s="26"/>
      <c r="C493" s="26"/>
      <c r="D493" s="26"/>
      <c r="E493" s="26"/>
    </row>
    <row r="494">
      <c r="A494" s="26"/>
      <c r="B494" s="26"/>
      <c r="C494" s="26"/>
      <c r="D494" s="26"/>
      <c r="E494" s="26"/>
    </row>
    <row r="495">
      <c r="A495" s="26"/>
      <c r="B495" s="26"/>
      <c r="C495" s="26"/>
      <c r="D495" s="26"/>
      <c r="E495" s="26"/>
    </row>
    <row r="496">
      <c r="A496" s="26"/>
      <c r="B496" s="26"/>
      <c r="C496" s="26"/>
      <c r="D496" s="26"/>
      <c r="E496" s="26"/>
    </row>
    <row r="497">
      <c r="A497" s="26"/>
      <c r="B497" s="26"/>
      <c r="C497" s="26"/>
      <c r="D497" s="26"/>
      <c r="E497" s="26"/>
    </row>
    <row r="498">
      <c r="A498" s="26"/>
      <c r="B498" s="26"/>
      <c r="C498" s="26"/>
      <c r="D498" s="26"/>
      <c r="E498" s="26"/>
    </row>
    <row r="499">
      <c r="A499" s="26"/>
      <c r="B499" s="26"/>
      <c r="C499" s="26"/>
      <c r="D499" s="26"/>
      <c r="E499" s="26"/>
    </row>
    <row r="500">
      <c r="A500" s="26"/>
      <c r="B500" s="26"/>
      <c r="C500" s="26"/>
      <c r="D500" s="26"/>
      <c r="E500" s="26"/>
    </row>
    <row r="501">
      <c r="A501" s="26"/>
      <c r="B501" s="26"/>
      <c r="C501" s="26"/>
      <c r="D501" s="26"/>
      <c r="E501" s="26"/>
    </row>
    <row r="502">
      <c r="A502" s="26"/>
      <c r="B502" s="26"/>
      <c r="C502" s="26"/>
      <c r="D502" s="26"/>
      <c r="E502" s="26"/>
    </row>
    <row r="503">
      <c r="A503" s="26"/>
      <c r="B503" s="26"/>
      <c r="C503" s="26"/>
      <c r="D503" s="26"/>
      <c r="E503" s="26"/>
    </row>
    <row r="504">
      <c r="A504" s="26"/>
      <c r="B504" s="26"/>
      <c r="C504" s="26"/>
      <c r="D504" s="26"/>
      <c r="E504" s="26"/>
    </row>
    <row r="505">
      <c r="A505" s="26"/>
      <c r="B505" s="26"/>
      <c r="C505" s="26"/>
      <c r="D505" s="26"/>
      <c r="E505" s="26"/>
    </row>
    <row r="506">
      <c r="A506" s="26"/>
      <c r="B506" s="26"/>
      <c r="C506" s="26"/>
      <c r="D506" s="26"/>
      <c r="E506" s="26"/>
    </row>
    <row r="507">
      <c r="A507" s="26"/>
      <c r="B507" s="26"/>
      <c r="C507" s="26"/>
      <c r="D507" s="26"/>
      <c r="E507" s="26"/>
    </row>
    <row r="508">
      <c r="A508" s="26"/>
      <c r="B508" s="26"/>
      <c r="C508" s="26"/>
      <c r="D508" s="26"/>
      <c r="E508" s="26"/>
    </row>
    <row r="509">
      <c r="A509" s="26"/>
      <c r="B509" s="26"/>
      <c r="C509" s="26"/>
      <c r="D509" s="26"/>
      <c r="E509" s="26"/>
    </row>
    <row r="510">
      <c r="A510" s="26"/>
      <c r="B510" s="26"/>
      <c r="C510" s="26"/>
      <c r="D510" s="26"/>
      <c r="E510" s="26"/>
    </row>
    <row r="511">
      <c r="A511" s="26"/>
      <c r="B511" s="26"/>
      <c r="C511" s="26"/>
      <c r="D511" s="26"/>
      <c r="E511" s="26"/>
    </row>
    <row r="512">
      <c r="A512" s="26"/>
      <c r="B512" s="26"/>
      <c r="C512" s="26"/>
      <c r="D512" s="26"/>
      <c r="E512" s="26"/>
    </row>
    <row r="513">
      <c r="A513" s="26"/>
      <c r="B513" s="26"/>
      <c r="C513" s="26"/>
      <c r="D513" s="26"/>
      <c r="E513" s="26"/>
    </row>
    <row r="514">
      <c r="A514" s="26"/>
      <c r="B514" s="26"/>
      <c r="C514" s="26"/>
      <c r="D514" s="26"/>
      <c r="E514" s="26"/>
    </row>
    <row r="515">
      <c r="A515" s="26"/>
      <c r="B515" s="26"/>
      <c r="C515" s="26"/>
      <c r="D515" s="26"/>
      <c r="E515" s="26"/>
    </row>
    <row r="516">
      <c r="A516" s="26"/>
      <c r="B516" s="26"/>
      <c r="C516" s="26"/>
      <c r="D516" s="26"/>
      <c r="E516" s="26"/>
    </row>
    <row r="517">
      <c r="A517" s="26"/>
      <c r="B517" s="26"/>
      <c r="C517" s="26"/>
      <c r="D517" s="26"/>
      <c r="E517" s="26"/>
    </row>
    <row r="518">
      <c r="A518" s="26"/>
      <c r="B518" s="26"/>
      <c r="C518" s="26"/>
      <c r="D518" s="26"/>
      <c r="E518" s="26"/>
    </row>
    <row r="519">
      <c r="A519" s="26"/>
      <c r="B519" s="26"/>
      <c r="C519" s="26"/>
      <c r="D519" s="26"/>
      <c r="E519" s="26"/>
    </row>
    <row r="520">
      <c r="A520" s="26"/>
      <c r="B520" s="26"/>
      <c r="C520" s="26"/>
      <c r="D520" s="26"/>
      <c r="E520" s="26"/>
    </row>
    <row r="521">
      <c r="A521" s="26"/>
      <c r="B521" s="26"/>
      <c r="C521" s="26"/>
      <c r="D521" s="26"/>
      <c r="E521" s="26"/>
    </row>
    <row r="522">
      <c r="A522" s="26"/>
      <c r="B522" s="26"/>
      <c r="C522" s="26"/>
      <c r="D522" s="26"/>
      <c r="E522" s="26"/>
    </row>
    <row r="523">
      <c r="A523" s="26"/>
      <c r="B523" s="26"/>
      <c r="C523" s="26"/>
      <c r="D523" s="26"/>
      <c r="E523" s="26"/>
    </row>
    <row r="524">
      <c r="A524" s="26"/>
      <c r="B524" s="26"/>
      <c r="C524" s="26"/>
      <c r="D524" s="26"/>
      <c r="E524" s="26"/>
    </row>
    <row r="525">
      <c r="A525" s="26"/>
      <c r="B525" s="26"/>
      <c r="C525" s="26"/>
      <c r="D525" s="26"/>
      <c r="E525" s="26"/>
    </row>
    <row r="526">
      <c r="A526" s="26"/>
      <c r="B526" s="26"/>
      <c r="C526" s="26"/>
      <c r="D526" s="26"/>
      <c r="E526" s="26"/>
    </row>
    <row r="527">
      <c r="A527" s="26"/>
      <c r="B527" s="26"/>
      <c r="C527" s="26"/>
      <c r="D527" s="26"/>
      <c r="E527" s="26"/>
    </row>
    <row r="528">
      <c r="A528" s="26"/>
      <c r="B528" s="26"/>
      <c r="C528" s="26"/>
      <c r="D528" s="26"/>
      <c r="E528" s="26"/>
    </row>
    <row r="529">
      <c r="A529" s="26"/>
      <c r="B529" s="26"/>
      <c r="C529" s="26"/>
      <c r="D529" s="26"/>
      <c r="E529" s="26"/>
    </row>
    <row r="530">
      <c r="A530" s="26"/>
      <c r="B530" s="26"/>
      <c r="C530" s="26"/>
      <c r="D530" s="26"/>
      <c r="E530" s="26"/>
    </row>
    <row r="531">
      <c r="A531" s="26"/>
      <c r="B531" s="26"/>
      <c r="C531" s="26"/>
      <c r="D531" s="26"/>
      <c r="E531" s="26"/>
    </row>
    <row r="532">
      <c r="A532" s="26"/>
      <c r="B532" s="26"/>
      <c r="C532" s="26"/>
      <c r="D532" s="26"/>
      <c r="E532" s="26"/>
    </row>
    <row r="533">
      <c r="A533" s="26"/>
      <c r="B533" s="26"/>
      <c r="C533" s="26"/>
      <c r="D533" s="26"/>
      <c r="E533" s="26"/>
    </row>
    <row r="534">
      <c r="A534" s="26"/>
      <c r="B534" s="26"/>
      <c r="C534" s="26"/>
      <c r="D534" s="26"/>
      <c r="E534" s="26"/>
    </row>
    <row r="535">
      <c r="A535" s="26"/>
      <c r="B535" s="26"/>
      <c r="C535" s="26"/>
      <c r="D535" s="26"/>
      <c r="E535" s="26"/>
    </row>
    <row r="536">
      <c r="A536" s="26"/>
      <c r="B536" s="26"/>
      <c r="C536" s="26"/>
      <c r="D536" s="26"/>
      <c r="E536" s="26"/>
    </row>
    <row r="537">
      <c r="A537" s="26"/>
      <c r="B537" s="26"/>
      <c r="C537" s="26"/>
      <c r="D537" s="26"/>
      <c r="E537" s="26"/>
    </row>
    <row r="538">
      <c r="A538" s="26"/>
      <c r="B538" s="26"/>
      <c r="C538" s="26"/>
      <c r="D538" s="26"/>
      <c r="E538" s="26"/>
    </row>
    <row r="539">
      <c r="A539" s="26"/>
      <c r="B539" s="26"/>
      <c r="C539" s="26"/>
      <c r="D539" s="26"/>
      <c r="E539" s="26"/>
    </row>
    <row r="540">
      <c r="A540" s="26"/>
      <c r="B540" s="26"/>
      <c r="C540" s="26"/>
      <c r="D540" s="26"/>
      <c r="E540" s="26"/>
    </row>
    <row r="541">
      <c r="A541" s="26"/>
      <c r="B541" s="26"/>
      <c r="C541" s="26"/>
      <c r="D541" s="26"/>
      <c r="E541" s="26"/>
    </row>
    <row r="542">
      <c r="A542" s="26"/>
      <c r="B542" s="26"/>
      <c r="C542" s="26"/>
      <c r="D542" s="26"/>
      <c r="E542" s="26"/>
    </row>
    <row r="543">
      <c r="A543" s="26"/>
      <c r="B543" s="26"/>
      <c r="C543" s="26"/>
      <c r="D543" s="26"/>
      <c r="E543" s="26"/>
    </row>
    <row r="544">
      <c r="A544" s="26"/>
      <c r="B544" s="26"/>
      <c r="C544" s="26"/>
      <c r="D544" s="26"/>
      <c r="E544" s="26"/>
    </row>
    <row r="545">
      <c r="A545" s="26"/>
      <c r="B545" s="26"/>
      <c r="C545" s="26"/>
      <c r="D545" s="26"/>
      <c r="E545" s="26"/>
    </row>
    <row r="546">
      <c r="A546" s="26"/>
      <c r="B546" s="26"/>
      <c r="C546" s="26"/>
      <c r="D546" s="26"/>
      <c r="E546" s="26"/>
    </row>
    <row r="547">
      <c r="A547" s="26"/>
      <c r="B547" s="26"/>
      <c r="C547" s="26"/>
      <c r="D547" s="26"/>
      <c r="E547" s="26"/>
    </row>
    <row r="548">
      <c r="A548" s="26"/>
      <c r="B548" s="26"/>
      <c r="C548" s="26"/>
      <c r="D548" s="26"/>
      <c r="E548" s="26"/>
    </row>
    <row r="549">
      <c r="A549" s="26"/>
      <c r="B549" s="26"/>
      <c r="C549" s="26"/>
      <c r="D549" s="26"/>
      <c r="E549" s="26"/>
    </row>
    <row r="550">
      <c r="A550" s="26"/>
      <c r="B550" s="26"/>
      <c r="C550" s="26"/>
      <c r="D550" s="26"/>
      <c r="E550" s="26"/>
    </row>
    <row r="551">
      <c r="A551" s="26"/>
      <c r="B551" s="26"/>
      <c r="C551" s="26"/>
      <c r="D551" s="26"/>
      <c r="E551" s="26"/>
    </row>
    <row r="552">
      <c r="A552" s="26"/>
      <c r="B552" s="26"/>
      <c r="C552" s="26"/>
      <c r="D552" s="26"/>
      <c r="E552" s="26"/>
    </row>
    <row r="553">
      <c r="A553" s="26"/>
      <c r="B553" s="26"/>
      <c r="C553" s="26"/>
      <c r="D553" s="26"/>
      <c r="E553" s="26"/>
    </row>
    <row r="554">
      <c r="A554" s="26"/>
      <c r="B554" s="26"/>
      <c r="C554" s="26"/>
      <c r="D554" s="26"/>
      <c r="E554" s="26"/>
    </row>
    <row r="555">
      <c r="A555" s="26"/>
      <c r="B555" s="26"/>
      <c r="C555" s="26"/>
      <c r="D555" s="26"/>
      <c r="E555" s="26"/>
    </row>
    <row r="556">
      <c r="A556" s="26"/>
      <c r="B556" s="26"/>
      <c r="C556" s="26"/>
      <c r="D556" s="26"/>
      <c r="E556" s="26"/>
    </row>
    <row r="557">
      <c r="A557" s="26"/>
      <c r="B557" s="26"/>
      <c r="C557" s="26"/>
      <c r="D557" s="26"/>
      <c r="E557" s="26"/>
    </row>
    <row r="558">
      <c r="A558" s="26"/>
      <c r="B558" s="26"/>
      <c r="C558" s="26"/>
      <c r="D558" s="26"/>
      <c r="E558" s="26"/>
    </row>
    <row r="559">
      <c r="A559" s="26"/>
      <c r="B559" s="26"/>
      <c r="C559" s="26"/>
      <c r="D559" s="26"/>
      <c r="E559" s="26"/>
    </row>
    <row r="560">
      <c r="A560" s="26"/>
      <c r="B560" s="26"/>
      <c r="C560" s="26"/>
      <c r="D560" s="26"/>
      <c r="E560" s="26"/>
    </row>
    <row r="561">
      <c r="A561" s="26"/>
      <c r="B561" s="26"/>
      <c r="C561" s="26"/>
      <c r="D561" s="26"/>
      <c r="E561" s="26"/>
    </row>
    <row r="562">
      <c r="A562" s="26"/>
      <c r="B562" s="26"/>
      <c r="C562" s="26"/>
      <c r="D562" s="26"/>
      <c r="E562" s="26"/>
    </row>
    <row r="563">
      <c r="A563" s="26"/>
      <c r="B563" s="26"/>
      <c r="C563" s="26"/>
      <c r="D563" s="26"/>
      <c r="E563" s="26"/>
    </row>
    <row r="564">
      <c r="A564" s="26"/>
      <c r="B564" s="26"/>
      <c r="C564" s="26"/>
      <c r="D564" s="26"/>
      <c r="E564" s="26"/>
    </row>
    <row r="565">
      <c r="A565" s="26"/>
      <c r="B565" s="26"/>
      <c r="C565" s="26"/>
      <c r="D565" s="26"/>
      <c r="E565" s="26"/>
    </row>
    <row r="566">
      <c r="A566" s="26"/>
      <c r="B566" s="26"/>
      <c r="C566" s="26"/>
      <c r="D566" s="26"/>
      <c r="E566" s="26"/>
    </row>
    <row r="567">
      <c r="A567" s="26"/>
      <c r="B567" s="26"/>
      <c r="C567" s="26"/>
      <c r="D567" s="26"/>
      <c r="E567" s="26"/>
    </row>
    <row r="568">
      <c r="A568" s="26"/>
      <c r="B568" s="26"/>
      <c r="C568" s="26"/>
      <c r="D568" s="26"/>
      <c r="E568" s="26"/>
    </row>
    <row r="569">
      <c r="A569" s="26"/>
      <c r="B569" s="26"/>
      <c r="C569" s="26"/>
      <c r="D569" s="26"/>
      <c r="E569" s="26"/>
    </row>
    <row r="570">
      <c r="A570" s="26"/>
      <c r="B570" s="26"/>
      <c r="C570" s="26"/>
      <c r="D570" s="26"/>
      <c r="E570" s="26"/>
    </row>
    <row r="571">
      <c r="A571" s="26"/>
      <c r="B571" s="26"/>
      <c r="C571" s="26"/>
      <c r="D571" s="26"/>
      <c r="E571" s="26"/>
    </row>
    <row r="572">
      <c r="A572" s="26"/>
      <c r="B572" s="26"/>
      <c r="C572" s="26"/>
      <c r="D572" s="26"/>
      <c r="E572" s="26"/>
    </row>
    <row r="573">
      <c r="A573" s="26"/>
      <c r="B573" s="26"/>
      <c r="C573" s="26"/>
      <c r="D573" s="26"/>
      <c r="E573" s="26"/>
    </row>
    <row r="574">
      <c r="A574" s="26"/>
      <c r="B574" s="26"/>
      <c r="C574" s="26"/>
      <c r="D574" s="26"/>
      <c r="E574" s="26"/>
    </row>
    <row r="575">
      <c r="A575" s="26"/>
      <c r="B575" s="26"/>
      <c r="C575" s="26"/>
      <c r="D575" s="26"/>
      <c r="E575" s="26"/>
    </row>
    <row r="576">
      <c r="A576" s="26"/>
      <c r="B576" s="26"/>
      <c r="C576" s="26"/>
      <c r="D576" s="26"/>
      <c r="E576" s="26"/>
    </row>
    <row r="577">
      <c r="A577" s="26"/>
      <c r="B577" s="26"/>
      <c r="C577" s="26"/>
      <c r="D577" s="26"/>
      <c r="E577" s="26"/>
    </row>
    <row r="578">
      <c r="A578" s="26"/>
      <c r="B578" s="26"/>
      <c r="C578" s="26"/>
      <c r="D578" s="26"/>
      <c r="E578" s="26"/>
    </row>
    <row r="579">
      <c r="A579" s="26"/>
      <c r="B579" s="26"/>
      <c r="C579" s="26"/>
      <c r="D579" s="26"/>
      <c r="E579" s="26"/>
    </row>
    <row r="580">
      <c r="A580" s="26"/>
      <c r="B580" s="26"/>
      <c r="C580" s="26"/>
      <c r="D580" s="26"/>
      <c r="E580" s="26"/>
    </row>
    <row r="581">
      <c r="A581" s="26"/>
      <c r="B581" s="26"/>
      <c r="C581" s="26"/>
      <c r="D581" s="26"/>
      <c r="E581" s="26"/>
    </row>
    <row r="582">
      <c r="A582" s="26"/>
      <c r="B582" s="26"/>
      <c r="C582" s="26"/>
      <c r="D582" s="26"/>
      <c r="E582" s="26"/>
    </row>
    <row r="583">
      <c r="A583" s="26"/>
      <c r="B583" s="26"/>
      <c r="C583" s="26"/>
      <c r="D583" s="26"/>
      <c r="E583" s="26"/>
    </row>
    <row r="584">
      <c r="A584" s="26"/>
      <c r="B584" s="26"/>
      <c r="C584" s="26"/>
      <c r="D584" s="26"/>
      <c r="E584" s="26"/>
    </row>
    <row r="585">
      <c r="A585" s="26"/>
      <c r="B585" s="26"/>
      <c r="C585" s="26"/>
      <c r="D585" s="26"/>
      <c r="E585" s="26"/>
    </row>
    <row r="586">
      <c r="A586" s="26"/>
      <c r="B586" s="26"/>
      <c r="C586" s="26"/>
      <c r="D586" s="26"/>
      <c r="E586" s="26"/>
    </row>
    <row r="587">
      <c r="A587" s="26"/>
      <c r="B587" s="26"/>
      <c r="C587" s="26"/>
      <c r="D587" s="26"/>
      <c r="E587" s="26"/>
    </row>
    <row r="588">
      <c r="A588" s="26"/>
      <c r="B588" s="26"/>
      <c r="C588" s="26"/>
      <c r="D588" s="26"/>
      <c r="E588" s="26"/>
    </row>
    <row r="589">
      <c r="A589" s="26"/>
      <c r="B589" s="26"/>
      <c r="C589" s="26"/>
      <c r="D589" s="26"/>
      <c r="E589" s="26"/>
    </row>
    <row r="590">
      <c r="A590" s="26"/>
      <c r="B590" s="26"/>
      <c r="C590" s="26"/>
      <c r="D590" s="26"/>
      <c r="E590" s="26"/>
    </row>
    <row r="591">
      <c r="A591" s="26"/>
      <c r="B591" s="26"/>
      <c r="C591" s="26"/>
      <c r="D591" s="26"/>
      <c r="E591" s="26"/>
    </row>
    <row r="592">
      <c r="A592" s="26"/>
      <c r="B592" s="26"/>
      <c r="C592" s="26"/>
      <c r="D592" s="26"/>
      <c r="E592" s="26"/>
    </row>
    <row r="593">
      <c r="A593" s="26"/>
      <c r="B593" s="26"/>
      <c r="C593" s="26"/>
      <c r="D593" s="26"/>
      <c r="E593" s="26"/>
    </row>
    <row r="594">
      <c r="A594" s="26"/>
      <c r="B594" s="26"/>
      <c r="C594" s="26"/>
      <c r="D594" s="26"/>
      <c r="E594" s="26"/>
    </row>
    <row r="595">
      <c r="A595" s="26"/>
      <c r="B595" s="26"/>
      <c r="C595" s="26"/>
      <c r="D595" s="26"/>
      <c r="E595" s="26"/>
    </row>
    <row r="596">
      <c r="A596" s="26"/>
      <c r="B596" s="26"/>
      <c r="C596" s="26"/>
      <c r="D596" s="26"/>
      <c r="E596" s="26"/>
    </row>
    <row r="597">
      <c r="A597" s="26"/>
      <c r="B597" s="26"/>
      <c r="C597" s="26"/>
      <c r="D597" s="26"/>
      <c r="E597" s="26"/>
    </row>
    <row r="598">
      <c r="A598" s="26"/>
      <c r="B598" s="26"/>
      <c r="C598" s="26"/>
      <c r="D598" s="26"/>
      <c r="E598" s="26"/>
    </row>
    <row r="599">
      <c r="A599" s="26"/>
      <c r="B599" s="26"/>
      <c r="C599" s="26"/>
      <c r="D599" s="26"/>
      <c r="E599" s="26"/>
    </row>
    <row r="600">
      <c r="A600" s="26"/>
      <c r="B600" s="26"/>
      <c r="C600" s="26"/>
      <c r="D600" s="26"/>
      <c r="E600" s="26"/>
    </row>
    <row r="601">
      <c r="A601" s="26"/>
      <c r="B601" s="26"/>
      <c r="C601" s="26"/>
      <c r="D601" s="26"/>
      <c r="E601" s="26"/>
    </row>
    <row r="602">
      <c r="A602" s="26"/>
      <c r="B602" s="26"/>
      <c r="C602" s="26"/>
      <c r="D602" s="26"/>
      <c r="E602" s="26"/>
    </row>
    <row r="603">
      <c r="A603" s="26"/>
      <c r="B603" s="26"/>
      <c r="C603" s="26"/>
      <c r="D603" s="26"/>
      <c r="E603" s="26"/>
    </row>
    <row r="604">
      <c r="A604" s="26"/>
      <c r="B604" s="26"/>
      <c r="C604" s="26"/>
      <c r="D604" s="26"/>
      <c r="E604" s="26"/>
    </row>
    <row r="605">
      <c r="A605" s="26"/>
      <c r="B605" s="26"/>
      <c r="C605" s="26"/>
      <c r="D605" s="26"/>
      <c r="E605" s="26"/>
    </row>
    <row r="606">
      <c r="A606" s="26"/>
      <c r="B606" s="26"/>
      <c r="C606" s="26"/>
      <c r="D606" s="26"/>
      <c r="E606" s="26"/>
    </row>
    <row r="607">
      <c r="A607" s="26"/>
      <c r="B607" s="26"/>
      <c r="C607" s="26"/>
      <c r="D607" s="26"/>
      <c r="E607" s="26"/>
    </row>
    <row r="608">
      <c r="A608" s="26"/>
      <c r="B608" s="26"/>
      <c r="C608" s="26"/>
      <c r="D608" s="26"/>
      <c r="E608" s="26"/>
    </row>
    <row r="609">
      <c r="A609" s="26"/>
      <c r="B609" s="26"/>
      <c r="C609" s="26"/>
      <c r="D609" s="26"/>
      <c r="E609" s="26"/>
    </row>
    <row r="610">
      <c r="A610" s="26"/>
      <c r="B610" s="26"/>
      <c r="C610" s="26"/>
      <c r="D610" s="26"/>
      <c r="E610" s="26"/>
    </row>
    <row r="611">
      <c r="A611" s="26"/>
      <c r="B611" s="26"/>
      <c r="C611" s="26"/>
      <c r="D611" s="26"/>
      <c r="E611" s="26"/>
    </row>
    <row r="612">
      <c r="A612" s="26"/>
      <c r="B612" s="26"/>
      <c r="C612" s="26"/>
      <c r="D612" s="26"/>
      <c r="E612" s="26"/>
    </row>
    <row r="613">
      <c r="A613" s="26"/>
      <c r="B613" s="26"/>
      <c r="C613" s="26"/>
      <c r="D613" s="26"/>
      <c r="E613" s="26"/>
    </row>
    <row r="614">
      <c r="A614" s="26"/>
      <c r="B614" s="26"/>
      <c r="C614" s="26"/>
      <c r="D614" s="26"/>
      <c r="E614" s="26"/>
    </row>
    <row r="615">
      <c r="A615" s="26"/>
      <c r="B615" s="26"/>
      <c r="C615" s="26"/>
      <c r="D615" s="26"/>
      <c r="E615" s="26"/>
    </row>
    <row r="616">
      <c r="A616" s="26"/>
      <c r="B616" s="26"/>
      <c r="C616" s="26"/>
      <c r="D616" s="26"/>
      <c r="E616" s="26"/>
    </row>
    <row r="617">
      <c r="A617" s="26"/>
      <c r="B617" s="26"/>
      <c r="C617" s="26"/>
      <c r="D617" s="26"/>
      <c r="E617" s="26"/>
    </row>
    <row r="618">
      <c r="A618" s="26"/>
      <c r="B618" s="26"/>
      <c r="C618" s="26"/>
      <c r="D618" s="26"/>
      <c r="E618" s="26"/>
    </row>
    <row r="619">
      <c r="A619" s="26"/>
      <c r="B619" s="26"/>
      <c r="C619" s="26"/>
      <c r="D619" s="26"/>
      <c r="E619" s="26"/>
    </row>
    <row r="620">
      <c r="A620" s="26"/>
      <c r="B620" s="26"/>
      <c r="C620" s="26"/>
      <c r="D620" s="26"/>
      <c r="E620" s="26"/>
    </row>
    <row r="621">
      <c r="A621" s="26"/>
      <c r="B621" s="26"/>
      <c r="C621" s="26"/>
      <c r="D621" s="26"/>
      <c r="E621" s="26"/>
    </row>
    <row r="622">
      <c r="A622" s="26"/>
      <c r="B622" s="26"/>
      <c r="C622" s="26"/>
      <c r="D622" s="26"/>
      <c r="E622" s="26"/>
    </row>
    <row r="623">
      <c r="A623" s="26"/>
      <c r="B623" s="26"/>
      <c r="C623" s="26"/>
      <c r="D623" s="26"/>
      <c r="E623" s="26"/>
    </row>
    <row r="624">
      <c r="A624" s="26"/>
      <c r="B624" s="26"/>
      <c r="C624" s="26"/>
      <c r="D624" s="26"/>
      <c r="E624" s="26"/>
    </row>
    <row r="625">
      <c r="A625" s="26"/>
      <c r="B625" s="26"/>
      <c r="C625" s="26"/>
      <c r="D625" s="26"/>
      <c r="E625" s="26"/>
    </row>
    <row r="626">
      <c r="A626" s="26"/>
      <c r="B626" s="26"/>
      <c r="C626" s="26"/>
      <c r="D626" s="26"/>
      <c r="E626" s="26"/>
    </row>
    <row r="627">
      <c r="A627" s="26"/>
      <c r="B627" s="26"/>
      <c r="C627" s="26"/>
      <c r="D627" s="26"/>
      <c r="E627" s="26"/>
    </row>
    <row r="628">
      <c r="A628" s="26"/>
      <c r="B628" s="26"/>
      <c r="C628" s="26"/>
      <c r="D628" s="26"/>
      <c r="E628" s="26"/>
    </row>
    <row r="629">
      <c r="A629" s="26"/>
      <c r="B629" s="26"/>
      <c r="C629" s="26"/>
      <c r="D629" s="26"/>
      <c r="E629" s="26"/>
    </row>
    <row r="630">
      <c r="A630" s="26"/>
      <c r="B630" s="26"/>
      <c r="C630" s="26"/>
      <c r="D630" s="26"/>
      <c r="E630" s="26"/>
    </row>
    <row r="631">
      <c r="A631" s="26"/>
      <c r="B631" s="26"/>
      <c r="C631" s="26"/>
      <c r="D631" s="26"/>
      <c r="E631" s="26"/>
    </row>
    <row r="632">
      <c r="A632" s="26"/>
      <c r="B632" s="26"/>
      <c r="C632" s="26"/>
      <c r="D632" s="26"/>
      <c r="E632" s="26"/>
    </row>
    <row r="633">
      <c r="A633" s="26"/>
      <c r="B633" s="26"/>
      <c r="C633" s="26"/>
      <c r="D633" s="26"/>
      <c r="E633" s="26"/>
    </row>
    <row r="634">
      <c r="A634" s="26"/>
      <c r="B634" s="26"/>
      <c r="C634" s="26"/>
      <c r="D634" s="26"/>
      <c r="E634" s="26"/>
    </row>
    <row r="635">
      <c r="A635" s="26"/>
      <c r="B635" s="26"/>
      <c r="C635" s="26"/>
      <c r="D635" s="26"/>
      <c r="E635" s="26"/>
    </row>
    <row r="636">
      <c r="A636" s="26"/>
      <c r="B636" s="26"/>
      <c r="C636" s="26"/>
      <c r="D636" s="26"/>
      <c r="E636" s="26"/>
    </row>
    <row r="637">
      <c r="A637" s="26"/>
      <c r="B637" s="26"/>
      <c r="C637" s="26"/>
      <c r="D637" s="26"/>
      <c r="E637" s="26"/>
    </row>
    <row r="638">
      <c r="A638" s="26"/>
      <c r="B638" s="26"/>
      <c r="C638" s="26"/>
      <c r="D638" s="26"/>
      <c r="E638" s="26"/>
    </row>
    <row r="639">
      <c r="A639" s="26"/>
      <c r="B639" s="26"/>
      <c r="C639" s="26"/>
      <c r="D639" s="26"/>
      <c r="E639" s="26"/>
    </row>
    <row r="640">
      <c r="A640" s="26"/>
      <c r="B640" s="26"/>
      <c r="C640" s="26"/>
      <c r="D640" s="26"/>
      <c r="E640" s="26"/>
    </row>
    <row r="641">
      <c r="A641" s="26"/>
      <c r="B641" s="26"/>
      <c r="C641" s="26"/>
      <c r="D641" s="26"/>
      <c r="E641" s="26"/>
    </row>
    <row r="642">
      <c r="A642" s="26"/>
      <c r="B642" s="26"/>
      <c r="C642" s="26"/>
      <c r="D642" s="26"/>
      <c r="E642" s="26"/>
    </row>
    <row r="643">
      <c r="A643" s="26"/>
      <c r="B643" s="26"/>
      <c r="C643" s="26"/>
      <c r="D643" s="26"/>
      <c r="E643" s="26"/>
    </row>
    <row r="644">
      <c r="A644" s="26"/>
      <c r="B644" s="26"/>
      <c r="C644" s="26"/>
      <c r="D644" s="26"/>
      <c r="E644" s="26"/>
    </row>
    <row r="645">
      <c r="A645" s="26"/>
      <c r="B645" s="26"/>
      <c r="C645" s="26"/>
      <c r="D645" s="26"/>
      <c r="E645" s="26"/>
    </row>
    <row r="646">
      <c r="A646" s="26"/>
      <c r="B646" s="26"/>
      <c r="C646" s="26"/>
      <c r="D646" s="26"/>
      <c r="E646" s="26"/>
    </row>
    <row r="647">
      <c r="A647" s="26"/>
      <c r="B647" s="26"/>
      <c r="C647" s="26"/>
      <c r="D647" s="26"/>
      <c r="E647" s="26"/>
    </row>
    <row r="648">
      <c r="A648" s="26"/>
      <c r="B648" s="26"/>
      <c r="C648" s="26"/>
      <c r="D648" s="26"/>
      <c r="E648" s="26"/>
    </row>
    <row r="649">
      <c r="A649" s="26"/>
      <c r="B649" s="26"/>
      <c r="C649" s="26"/>
      <c r="D649" s="26"/>
      <c r="E649" s="26"/>
    </row>
    <row r="650">
      <c r="A650" s="26"/>
      <c r="B650" s="26"/>
      <c r="C650" s="26"/>
      <c r="D650" s="26"/>
      <c r="E650" s="26"/>
    </row>
    <row r="651">
      <c r="A651" s="26"/>
      <c r="B651" s="26"/>
      <c r="C651" s="26"/>
      <c r="D651" s="26"/>
      <c r="E651" s="26"/>
    </row>
    <row r="652">
      <c r="A652" s="26"/>
      <c r="B652" s="26"/>
      <c r="C652" s="26"/>
      <c r="D652" s="26"/>
      <c r="E652" s="26"/>
    </row>
    <row r="653">
      <c r="A653" s="26"/>
      <c r="B653" s="26"/>
      <c r="C653" s="26"/>
      <c r="D653" s="26"/>
      <c r="E653" s="26"/>
    </row>
    <row r="654">
      <c r="A654" s="26"/>
      <c r="B654" s="26"/>
      <c r="C654" s="26"/>
      <c r="D654" s="26"/>
      <c r="E654" s="26"/>
    </row>
    <row r="655">
      <c r="A655" s="26"/>
      <c r="B655" s="26"/>
      <c r="C655" s="26"/>
      <c r="D655" s="26"/>
      <c r="E655" s="26"/>
    </row>
    <row r="656">
      <c r="A656" s="26"/>
      <c r="B656" s="26"/>
      <c r="C656" s="26"/>
      <c r="D656" s="26"/>
      <c r="E656" s="26"/>
    </row>
    <row r="657">
      <c r="A657" s="26"/>
      <c r="B657" s="26"/>
      <c r="C657" s="26"/>
      <c r="D657" s="26"/>
      <c r="E657" s="26"/>
    </row>
    <row r="658">
      <c r="A658" s="26"/>
      <c r="B658" s="26"/>
      <c r="C658" s="26"/>
      <c r="D658" s="26"/>
      <c r="E658" s="26"/>
    </row>
    <row r="659">
      <c r="A659" s="26"/>
      <c r="B659" s="26"/>
      <c r="C659" s="26"/>
      <c r="D659" s="26"/>
      <c r="E659" s="26"/>
    </row>
    <row r="660">
      <c r="A660" s="26"/>
      <c r="B660" s="26"/>
      <c r="C660" s="26"/>
      <c r="D660" s="26"/>
      <c r="E660" s="26"/>
    </row>
    <row r="661">
      <c r="A661" s="26"/>
      <c r="B661" s="26"/>
      <c r="C661" s="26"/>
      <c r="D661" s="26"/>
      <c r="E661" s="26"/>
    </row>
    <row r="662">
      <c r="A662" s="26"/>
      <c r="B662" s="26"/>
      <c r="C662" s="26"/>
      <c r="D662" s="26"/>
      <c r="E662" s="26"/>
    </row>
    <row r="663">
      <c r="A663" s="26"/>
      <c r="B663" s="26"/>
      <c r="C663" s="26"/>
      <c r="D663" s="26"/>
      <c r="E663" s="26"/>
    </row>
    <row r="664">
      <c r="A664" s="26"/>
      <c r="B664" s="26"/>
      <c r="C664" s="26"/>
      <c r="D664" s="26"/>
      <c r="E664" s="26"/>
    </row>
    <row r="665">
      <c r="A665" s="26"/>
      <c r="B665" s="26"/>
      <c r="C665" s="26"/>
      <c r="D665" s="26"/>
      <c r="E665" s="26"/>
    </row>
    <row r="666">
      <c r="A666" s="26"/>
      <c r="B666" s="26"/>
      <c r="C666" s="26"/>
      <c r="D666" s="26"/>
      <c r="E666" s="26"/>
    </row>
    <row r="667">
      <c r="A667" s="26"/>
      <c r="B667" s="26"/>
      <c r="C667" s="26"/>
      <c r="D667" s="26"/>
      <c r="E667" s="26"/>
    </row>
    <row r="668">
      <c r="A668" s="26"/>
      <c r="B668" s="26"/>
      <c r="C668" s="26"/>
      <c r="D668" s="26"/>
      <c r="E668" s="26"/>
    </row>
    <row r="669">
      <c r="A669" s="26"/>
      <c r="B669" s="26"/>
      <c r="C669" s="26"/>
      <c r="D669" s="26"/>
      <c r="E669" s="26"/>
    </row>
    <row r="670">
      <c r="A670" s="26"/>
      <c r="B670" s="26"/>
      <c r="C670" s="26"/>
      <c r="D670" s="26"/>
      <c r="E670" s="26"/>
    </row>
    <row r="671">
      <c r="A671" s="26"/>
      <c r="B671" s="26"/>
      <c r="C671" s="26"/>
      <c r="D671" s="26"/>
      <c r="E671" s="26"/>
    </row>
    <row r="672">
      <c r="A672" s="26"/>
      <c r="B672" s="26"/>
      <c r="C672" s="26"/>
      <c r="D672" s="26"/>
      <c r="E672" s="26"/>
    </row>
    <row r="673">
      <c r="A673" s="26"/>
      <c r="B673" s="26"/>
      <c r="C673" s="26"/>
      <c r="D673" s="26"/>
      <c r="E673" s="26"/>
    </row>
    <row r="674">
      <c r="A674" s="26"/>
      <c r="B674" s="26"/>
      <c r="C674" s="26"/>
      <c r="D674" s="26"/>
      <c r="E674" s="26"/>
    </row>
    <row r="675">
      <c r="A675" s="26"/>
      <c r="B675" s="26"/>
      <c r="C675" s="26"/>
      <c r="D675" s="26"/>
      <c r="E675" s="26"/>
    </row>
    <row r="676">
      <c r="A676" s="26"/>
      <c r="B676" s="26"/>
      <c r="C676" s="26"/>
      <c r="D676" s="26"/>
      <c r="E676" s="26"/>
    </row>
    <row r="677">
      <c r="A677" s="26"/>
      <c r="B677" s="26"/>
      <c r="C677" s="26"/>
      <c r="D677" s="26"/>
      <c r="E677" s="26"/>
    </row>
    <row r="678">
      <c r="A678" s="26"/>
      <c r="B678" s="26"/>
      <c r="C678" s="26"/>
      <c r="D678" s="26"/>
      <c r="E678" s="26"/>
    </row>
    <row r="679">
      <c r="A679" s="26"/>
      <c r="B679" s="26"/>
      <c r="C679" s="26"/>
      <c r="D679" s="26"/>
      <c r="E679" s="26"/>
    </row>
    <row r="680">
      <c r="A680" s="26"/>
      <c r="B680" s="26"/>
      <c r="C680" s="26"/>
      <c r="D680" s="26"/>
      <c r="E680" s="26"/>
    </row>
    <row r="681">
      <c r="A681" s="26"/>
      <c r="B681" s="26"/>
      <c r="C681" s="26"/>
      <c r="D681" s="26"/>
      <c r="E681" s="26"/>
    </row>
    <row r="682">
      <c r="A682" s="26"/>
      <c r="B682" s="26"/>
      <c r="C682" s="26"/>
      <c r="D682" s="26"/>
      <c r="E682" s="26"/>
    </row>
    <row r="683">
      <c r="A683" s="26"/>
      <c r="B683" s="26"/>
      <c r="C683" s="26"/>
      <c r="D683" s="26"/>
      <c r="E683" s="26"/>
    </row>
    <row r="684">
      <c r="A684" s="26"/>
      <c r="B684" s="26"/>
      <c r="C684" s="26"/>
      <c r="D684" s="26"/>
      <c r="E684" s="26"/>
    </row>
    <row r="685">
      <c r="A685" s="26"/>
      <c r="B685" s="26"/>
      <c r="C685" s="26"/>
      <c r="D685" s="26"/>
      <c r="E685" s="26"/>
    </row>
    <row r="686">
      <c r="A686" s="26"/>
      <c r="B686" s="26"/>
      <c r="C686" s="26"/>
      <c r="D686" s="26"/>
      <c r="E686" s="26"/>
    </row>
    <row r="687">
      <c r="A687" s="26"/>
      <c r="B687" s="26"/>
      <c r="C687" s="26"/>
      <c r="D687" s="26"/>
      <c r="E687" s="26"/>
    </row>
    <row r="688">
      <c r="A688" s="26"/>
      <c r="B688" s="26"/>
      <c r="C688" s="26"/>
      <c r="D688" s="26"/>
      <c r="E688" s="26"/>
    </row>
    <row r="689">
      <c r="A689" s="26"/>
      <c r="B689" s="26"/>
      <c r="C689" s="26"/>
      <c r="D689" s="26"/>
      <c r="E689" s="26"/>
    </row>
    <row r="690">
      <c r="A690" s="26"/>
      <c r="B690" s="26"/>
      <c r="C690" s="26"/>
      <c r="D690" s="26"/>
      <c r="E690" s="26"/>
    </row>
    <row r="691">
      <c r="A691" s="26"/>
      <c r="B691" s="26"/>
      <c r="C691" s="26"/>
      <c r="D691" s="26"/>
      <c r="E691" s="26"/>
    </row>
    <row r="692">
      <c r="A692" s="26"/>
      <c r="B692" s="26"/>
      <c r="C692" s="26"/>
      <c r="D692" s="26"/>
      <c r="E692" s="26"/>
    </row>
    <row r="693">
      <c r="A693" s="26"/>
      <c r="B693" s="26"/>
      <c r="C693" s="26"/>
      <c r="D693" s="26"/>
      <c r="E693" s="26"/>
    </row>
    <row r="694">
      <c r="A694" s="26"/>
      <c r="B694" s="26"/>
      <c r="C694" s="26"/>
      <c r="D694" s="26"/>
      <c r="E694" s="26"/>
    </row>
    <row r="695">
      <c r="A695" s="26"/>
      <c r="B695" s="26"/>
      <c r="C695" s="26"/>
      <c r="D695" s="26"/>
      <c r="E695" s="26"/>
    </row>
    <row r="696">
      <c r="A696" s="26"/>
      <c r="B696" s="26"/>
      <c r="C696" s="26"/>
      <c r="D696" s="26"/>
      <c r="E696" s="26"/>
    </row>
    <row r="697">
      <c r="A697" s="26"/>
      <c r="B697" s="26"/>
      <c r="C697" s="26"/>
      <c r="D697" s="26"/>
      <c r="E697" s="26"/>
    </row>
    <row r="698">
      <c r="A698" s="26"/>
      <c r="B698" s="26"/>
      <c r="C698" s="26"/>
      <c r="D698" s="26"/>
      <c r="E698" s="26"/>
    </row>
    <row r="699">
      <c r="A699" s="26"/>
      <c r="B699" s="26"/>
      <c r="C699" s="26"/>
      <c r="D699" s="26"/>
      <c r="E699" s="26"/>
    </row>
    <row r="700">
      <c r="A700" s="26"/>
      <c r="B700" s="26"/>
      <c r="C700" s="26"/>
      <c r="D700" s="26"/>
      <c r="E700" s="26"/>
    </row>
    <row r="701">
      <c r="A701" s="26"/>
      <c r="B701" s="26"/>
      <c r="C701" s="26"/>
      <c r="D701" s="26"/>
      <c r="E701" s="26"/>
    </row>
    <row r="702">
      <c r="A702" s="26"/>
      <c r="B702" s="26"/>
      <c r="C702" s="26"/>
      <c r="D702" s="26"/>
      <c r="E702" s="26"/>
    </row>
    <row r="703">
      <c r="A703" s="26"/>
      <c r="B703" s="26"/>
      <c r="C703" s="26"/>
      <c r="D703" s="26"/>
      <c r="E703" s="26"/>
    </row>
    <row r="704">
      <c r="A704" s="26"/>
      <c r="B704" s="26"/>
      <c r="C704" s="26"/>
      <c r="D704" s="26"/>
      <c r="E704" s="26"/>
    </row>
    <row r="705">
      <c r="A705" s="26"/>
      <c r="B705" s="26"/>
      <c r="C705" s="26"/>
      <c r="D705" s="26"/>
      <c r="E705" s="26"/>
    </row>
    <row r="706">
      <c r="A706" s="26"/>
      <c r="B706" s="26"/>
      <c r="C706" s="26"/>
      <c r="D706" s="26"/>
      <c r="E706" s="26"/>
    </row>
    <row r="707">
      <c r="A707" s="26"/>
      <c r="B707" s="26"/>
      <c r="C707" s="26"/>
      <c r="D707" s="26"/>
      <c r="E707" s="26"/>
    </row>
    <row r="708">
      <c r="A708" s="26"/>
      <c r="B708" s="26"/>
      <c r="C708" s="26"/>
      <c r="D708" s="26"/>
      <c r="E708" s="26"/>
    </row>
    <row r="709">
      <c r="A709" s="26"/>
      <c r="B709" s="26"/>
      <c r="C709" s="26"/>
      <c r="D709" s="26"/>
      <c r="E709" s="26"/>
    </row>
    <row r="710">
      <c r="A710" s="26"/>
      <c r="B710" s="26"/>
      <c r="C710" s="26"/>
      <c r="D710" s="26"/>
      <c r="E710" s="26"/>
    </row>
    <row r="711">
      <c r="A711" s="26"/>
      <c r="B711" s="26"/>
      <c r="C711" s="26"/>
      <c r="D711" s="26"/>
      <c r="E711" s="26"/>
    </row>
    <row r="712">
      <c r="A712" s="26"/>
      <c r="B712" s="26"/>
      <c r="C712" s="26"/>
      <c r="D712" s="26"/>
      <c r="E712" s="26"/>
    </row>
    <row r="713">
      <c r="A713" s="26"/>
      <c r="B713" s="26"/>
      <c r="C713" s="26"/>
      <c r="D713" s="26"/>
      <c r="E713" s="26"/>
    </row>
    <row r="714">
      <c r="A714" s="26"/>
      <c r="B714" s="26"/>
      <c r="C714" s="26"/>
      <c r="D714" s="26"/>
      <c r="E714" s="26"/>
    </row>
    <row r="715">
      <c r="A715" s="26"/>
      <c r="B715" s="26"/>
      <c r="C715" s="26"/>
      <c r="D715" s="26"/>
      <c r="E715" s="26"/>
    </row>
    <row r="716">
      <c r="A716" s="26"/>
      <c r="B716" s="26"/>
      <c r="C716" s="26"/>
      <c r="D716" s="26"/>
      <c r="E716" s="26"/>
    </row>
    <row r="717">
      <c r="A717" s="26"/>
      <c r="B717" s="26"/>
      <c r="C717" s="26"/>
      <c r="D717" s="26"/>
      <c r="E717" s="26"/>
    </row>
    <row r="718">
      <c r="A718" s="26"/>
      <c r="B718" s="26"/>
      <c r="C718" s="26"/>
      <c r="D718" s="26"/>
      <c r="E718" s="26"/>
    </row>
    <row r="719">
      <c r="A719" s="26"/>
      <c r="B719" s="26"/>
      <c r="C719" s="26"/>
      <c r="D719" s="26"/>
      <c r="E719" s="26"/>
    </row>
    <row r="720">
      <c r="A720" s="26"/>
      <c r="B720" s="26"/>
      <c r="C720" s="26"/>
      <c r="D720" s="26"/>
      <c r="E720" s="26"/>
    </row>
    <row r="721">
      <c r="A721" s="26"/>
      <c r="B721" s="26"/>
      <c r="C721" s="26"/>
      <c r="D721" s="26"/>
      <c r="E721" s="26"/>
    </row>
    <row r="722">
      <c r="A722" s="26"/>
      <c r="B722" s="26"/>
      <c r="C722" s="26"/>
      <c r="D722" s="26"/>
      <c r="E722" s="26"/>
    </row>
    <row r="723">
      <c r="A723" s="26"/>
      <c r="B723" s="26"/>
      <c r="C723" s="26"/>
      <c r="D723" s="26"/>
      <c r="E723" s="26"/>
    </row>
    <row r="724">
      <c r="A724" s="26"/>
      <c r="B724" s="26"/>
      <c r="C724" s="26"/>
      <c r="D724" s="26"/>
      <c r="E724" s="26"/>
    </row>
    <row r="725">
      <c r="A725" s="26"/>
      <c r="B725" s="26"/>
      <c r="C725" s="26"/>
      <c r="D725" s="26"/>
      <c r="E725" s="26"/>
    </row>
    <row r="726">
      <c r="A726" s="26"/>
      <c r="B726" s="26"/>
      <c r="C726" s="26"/>
      <c r="D726" s="26"/>
      <c r="E726" s="26"/>
    </row>
    <row r="727">
      <c r="A727" s="26"/>
      <c r="B727" s="26"/>
      <c r="C727" s="26"/>
      <c r="D727" s="26"/>
      <c r="E727" s="26"/>
    </row>
    <row r="728">
      <c r="A728" s="26"/>
      <c r="B728" s="26"/>
      <c r="C728" s="26"/>
      <c r="D728" s="26"/>
      <c r="E728" s="26"/>
    </row>
    <row r="729">
      <c r="A729" s="26"/>
      <c r="B729" s="26"/>
      <c r="C729" s="26"/>
      <c r="D729" s="26"/>
      <c r="E729" s="26"/>
    </row>
    <row r="730">
      <c r="A730" s="26"/>
      <c r="B730" s="26"/>
      <c r="C730" s="26"/>
      <c r="D730" s="26"/>
      <c r="E730" s="26"/>
    </row>
    <row r="731">
      <c r="A731" s="26"/>
      <c r="B731" s="26"/>
      <c r="C731" s="26"/>
      <c r="D731" s="26"/>
      <c r="E731" s="26"/>
    </row>
    <row r="732">
      <c r="A732" s="26"/>
      <c r="B732" s="26"/>
      <c r="C732" s="26"/>
      <c r="D732" s="26"/>
      <c r="E732" s="26"/>
    </row>
    <row r="733">
      <c r="A733" s="26"/>
      <c r="B733" s="26"/>
      <c r="C733" s="26"/>
      <c r="D733" s="26"/>
      <c r="E733" s="26"/>
    </row>
    <row r="734">
      <c r="A734" s="26"/>
      <c r="B734" s="26"/>
      <c r="C734" s="26"/>
      <c r="D734" s="26"/>
      <c r="E734" s="26"/>
    </row>
    <row r="735">
      <c r="A735" s="26"/>
      <c r="B735" s="26"/>
      <c r="C735" s="26"/>
      <c r="D735" s="26"/>
      <c r="E735" s="26"/>
    </row>
    <row r="736">
      <c r="A736" s="26"/>
      <c r="B736" s="26"/>
      <c r="C736" s="26"/>
      <c r="D736" s="26"/>
      <c r="E736" s="26"/>
    </row>
    <row r="737">
      <c r="A737" s="26"/>
      <c r="B737" s="26"/>
      <c r="C737" s="26"/>
      <c r="D737" s="26"/>
      <c r="E737" s="26"/>
    </row>
    <row r="738">
      <c r="A738" s="26"/>
      <c r="B738" s="26"/>
      <c r="C738" s="26"/>
      <c r="D738" s="26"/>
      <c r="E738" s="26"/>
    </row>
    <row r="739">
      <c r="A739" s="26"/>
      <c r="B739" s="26"/>
      <c r="C739" s="26"/>
      <c r="D739" s="26"/>
      <c r="E739" s="26"/>
    </row>
    <row r="740">
      <c r="A740" s="26"/>
      <c r="B740" s="26"/>
      <c r="C740" s="26"/>
      <c r="D740" s="26"/>
      <c r="E740" s="26"/>
    </row>
    <row r="741">
      <c r="A741" s="26"/>
      <c r="B741" s="26"/>
      <c r="C741" s="26"/>
      <c r="D741" s="26"/>
      <c r="E741" s="26"/>
    </row>
    <row r="742">
      <c r="A742" s="26"/>
      <c r="B742" s="26"/>
      <c r="C742" s="26"/>
      <c r="D742" s="26"/>
      <c r="E742" s="26"/>
    </row>
    <row r="743">
      <c r="A743" s="26"/>
      <c r="B743" s="26"/>
      <c r="C743" s="26"/>
      <c r="D743" s="26"/>
      <c r="E743" s="26"/>
    </row>
    <row r="744">
      <c r="A744" s="26"/>
      <c r="B744" s="26"/>
      <c r="C744" s="26"/>
      <c r="D744" s="26"/>
      <c r="E744" s="26"/>
    </row>
    <row r="745">
      <c r="A745" s="26"/>
      <c r="B745" s="26"/>
      <c r="C745" s="26"/>
      <c r="D745" s="26"/>
      <c r="E745" s="26"/>
    </row>
    <row r="746">
      <c r="A746" s="26"/>
      <c r="B746" s="26"/>
      <c r="C746" s="26"/>
      <c r="D746" s="26"/>
      <c r="E746" s="26"/>
    </row>
    <row r="747">
      <c r="A747" s="26"/>
      <c r="B747" s="26"/>
      <c r="C747" s="26"/>
      <c r="D747" s="26"/>
      <c r="E747" s="26"/>
    </row>
    <row r="748">
      <c r="A748" s="26"/>
      <c r="B748" s="26"/>
      <c r="C748" s="26"/>
      <c r="D748" s="26"/>
      <c r="E748" s="26"/>
    </row>
    <row r="749">
      <c r="A749" s="26"/>
      <c r="B749" s="26"/>
      <c r="C749" s="26"/>
      <c r="D749" s="26"/>
      <c r="E749" s="26"/>
    </row>
    <row r="750">
      <c r="A750" s="26"/>
      <c r="B750" s="26"/>
      <c r="C750" s="26"/>
      <c r="D750" s="26"/>
      <c r="E750" s="26"/>
    </row>
    <row r="751">
      <c r="A751" s="26"/>
      <c r="B751" s="26"/>
      <c r="C751" s="26"/>
      <c r="D751" s="26"/>
      <c r="E751" s="26"/>
    </row>
    <row r="752">
      <c r="A752" s="26"/>
      <c r="B752" s="26"/>
      <c r="C752" s="26"/>
      <c r="D752" s="26"/>
      <c r="E752" s="26"/>
    </row>
    <row r="753">
      <c r="A753" s="26"/>
      <c r="B753" s="26"/>
      <c r="C753" s="26"/>
      <c r="D753" s="26"/>
      <c r="E753" s="26"/>
    </row>
    <row r="754">
      <c r="A754" s="26"/>
      <c r="B754" s="26"/>
      <c r="C754" s="26"/>
      <c r="D754" s="26"/>
      <c r="E754" s="26"/>
    </row>
    <row r="755">
      <c r="A755" s="26"/>
      <c r="B755" s="26"/>
      <c r="C755" s="26"/>
      <c r="D755" s="26"/>
      <c r="E755" s="26"/>
    </row>
    <row r="756">
      <c r="A756" s="26"/>
      <c r="B756" s="26"/>
      <c r="C756" s="26"/>
      <c r="D756" s="26"/>
      <c r="E756" s="26"/>
    </row>
    <row r="757">
      <c r="A757" s="26"/>
      <c r="B757" s="26"/>
      <c r="C757" s="26"/>
      <c r="D757" s="26"/>
      <c r="E757" s="26"/>
    </row>
    <row r="758">
      <c r="A758" s="26"/>
      <c r="B758" s="26"/>
      <c r="C758" s="26"/>
      <c r="D758" s="26"/>
      <c r="E758" s="26"/>
    </row>
    <row r="759">
      <c r="A759" s="26"/>
      <c r="B759" s="26"/>
      <c r="C759" s="26"/>
      <c r="D759" s="26"/>
      <c r="E759" s="26"/>
    </row>
    <row r="760">
      <c r="A760" s="26"/>
      <c r="B760" s="26"/>
      <c r="C760" s="26"/>
      <c r="D760" s="26"/>
      <c r="E760" s="26"/>
    </row>
    <row r="761">
      <c r="A761" s="26"/>
      <c r="B761" s="26"/>
      <c r="C761" s="26"/>
      <c r="D761" s="26"/>
      <c r="E761" s="26"/>
    </row>
    <row r="762">
      <c r="A762" s="26"/>
      <c r="B762" s="26"/>
      <c r="C762" s="26"/>
      <c r="D762" s="26"/>
      <c r="E762" s="26"/>
    </row>
    <row r="763">
      <c r="A763" s="26"/>
      <c r="B763" s="26"/>
      <c r="C763" s="26"/>
      <c r="D763" s="26"/>
      <c r="E763" s="26"/>
    </row>
    <row r="764">
      <c r="A764" s="26"/>
      <c r="B764" s="26"/>
      <c r="C764" s="26"/>
      <c r="D764" s="26"/>
      <c r="E764" s="26"/>
    </row>
    <row r="765">
      <c r="A765" s="26"/>
      <c r="B765" s="26"/>
      <c r="C765" s="26"/>
      <c r="D765" s="26"/>
      <c r="E765" s="26"/>
    </row>
    <row r="766">
      <c r="A766" s="26"/>
      <c r="B766" s="26"/>
      <c r="C766" s="26"/>
      <c r="D766" s="26"/>
      <c r="E766" s="26"/>
    </row>
    <row r="767">
      <c r="A767" s="26"/>
      <c r="B767" s="26"/>
      <c r="C767" s="26"/>
      <c r="D767" s="26"/>
      <c r="E767" s="26"/>
    </row>
    <row r="768">
      <c r="A768" s="26"/>
      <c r="B768" s="26"/>
      <c r="C768" s="26"/>
      <c r="D768" s="26"/>
      <c r="E768" s="26"/>
    </row>
    <row r="769">
      <c r="A769" s="26"/>
      <c r="B769" s="26"/>
      <c r="C769" s="26"/>
      <c r="D769" s="26"/>
      <c r="E769" s="26"/>
    </row>
    <row r="770">
      <c r="A770" s="26"/>
      <c r="B770" s="26"/>
      <c r="C770" s="26"/>
      <c r="D770" s="26"/>
      <c r="E770" s="26"/>
    </row>
    <row r="771">
      <c r="A771" s="26"/>
      <c r="B771" s="26"/>
      <c r="C771" s="26"/>
      <c r="D771" s="26"/>
      <c r="E771" s="26"/>
    </row>
    <row r="772">
      <c r="A772" s="26"/>
      <c r="B772" s="26"/>
      <c r="C772" s="26"/>
      <c r="D772" s="26"/>
      <c r="E772" s="26"/>
    </row>
    <row r="773">
      <c r="A773" s="26"/>
      <c r="B773" s="26"/>
      <c r="C773" s="26"/>
      <c r="D773" s="26"/>
      <c r="E773" s="26"/>
    </row>
    <row r="774">
      <c r="A774" s="26"/>
      <c r="B774" s="26"/>
      <c r="C774" s="26"/>
      <c r="D774" s="26"/>
      <c r="E774" s="26"/>
    </row>
    <row r="775">
      <c r="A775" s="26"/>
      <c r="B775" s="26"/>
      <c r="C775" s="26"/>
      <c r="D775" s="26"/>
      <c r="E775" s="26"/>
    </row>
    <row r="776">
      <c r="A776" s="26"/>
      <c r="B776" s="26"/>
      <c r="C776" s="26"/>
      <c r="D776" s="26"/>
      <c r="E776" s="26"/>
    </row>
    <row r="777">
      <c r="A777" s="26"/>
      <c r="B777" s="26"/>
      <c r="C777" s="26"/>
      <c r="D777" s="26"/>
      <c r="E777" s="26"/>
    </row>
    <row r="778">
      <c r="A778" s="26"/>
      <c r="B778" s="26"/>
      <c r="C778" s="26"/>
      <c r="D778" s="26"/>
      <c r="E778" s="26"/>
    </row>
    <row r="779">
      <c r="A779" s="26"/>
      <c r="B779" s="26"/>
      <c r="C779" s="26"/>
      <c r="D779" s="26"/>
      <c r="E779" s="26"/>
    </row>
    <row r="780">
      <c r="A780" s="26"/>
      <c r="B780" s="26"/>
      <c r="C780" s="26"/>
      <c r="D780" s="26"/>
      <c r="E780" s="26"/>
    </row>
    <row r="781">
      <c r="A781" s="26"/>
      <c r="B781" s="26"/>
      <c r="C781" s="26"/>
      <c r="D781" s="26"/>
      <c r="E781" s="26"/>
    </row>
    <row r="782">
      <c r="A782" s="26"/>
      <c r="B782" s="26"/>
      <c r="C782" s="26"/>
      <c r="D782" s="26"/>
      <c r="E782" s="26"/>
    </row>
    <row r="783">
      <c r="A783" s="26"/>
      <c r="B783" s="26"/>
      <c r="C783" s="26"/>
      <c r="D783" s="26"/>
      <c r="E783" s="26"/>
    </row>
    <row r="784">
      <c r="A784" s="26"/>
      <c r="B784" s="26"/>
      <c r="C784" s="26"/>
      <c r="D784" s="26"/>
      <c r="E784" s="26"/>
    </row>
    <row r="785">
      <c r="A785" s="26"/>
      <c r="B785" s="26"/>
      <c r="C785" s="26"/>
      <c r="D785" s="26"/>
      <c r="E785" s="26"/>
    </row>
    <row r="786">
      <c r="A786" s="26"/>
      <c r="B786" s="26"/>
      <c r="C786" s="26"/>
      <c r="D786" s="26"/>
      <c r="E786" s="26"/>
    </row>
    <row r="787">
      <c r="A787" s="26"/>
      <c r="B787" s="26"/>
      <c r="C787" s="26"/>
      <c r="D787" s="26"/>
      <c r="E787" s="26"/>
    </row>
    <row r="788">
      <c r="A788" s="26"/>
      <c r="B788" s="26"/>
      <c r="C788" s="26"/>
      <c r="D788" s="26"/>
      <c r="E788" s="26"/>
    </row>
    <row r="789">
      <c r="A789" s="26"/>
      <c r="B789" s="26"/>
      <c r="C789" s="26"/>
      <c r="D789" s="26"/>
      <c r="E789" s="26"/>
    </row>
    <row r="790">
      <c r="A790" s="26"/>
      <c r="B790" s="26"/>
      <c r="C790" s="26"/>
      <c r="D790" s="26"/>
      <c r="E790" s="26"/>
    </row>
    <row r="791">
      <c r="A791" s="26"/>
      <c r="B791" s="26"/>
      <c r="C791" s="26"/>
      <c r="D791" s="26"/>
      <c r="E791" s="26"/>
    </row>
    <row r="792">
      <c r="A792" s="26"/>
      <c r="B792" s="26"/>
      <c r="C792" s="26"/>
      <c r="D792" s="26"/>
      <c r="E792" s="26"/>
    </row>
    <row r="793">
      <c r="A793" s="26"/>
      <c r="B793" s="26"/>
      <c r="C793" s="26"/>
      <c r="D793" s="26"/>
      <c r="E793" s="26"/>
    </row>
    <row r="794">
      <c r="A794" s="26"/>
      <c r="B794" s="26"/>
      <c r="C794" s="26"/>
      <c r="D794" s="26"/>
      <c r="E794" s="26"/>
    </row>
    <row r="795">
      <c r="A795" s="26"/>
      <c r="B795" s="26"/>
      <c r="C795" s="26"/>
      <c r="D795" s="26"/>
      <c r="E795" s="26"/>
    </row>
    <row r="796">
      <c r="A796" s="26"/>
      <c r="B796" s="26"/>
      <c r="C796" s="26"/>
      <c r="D796" s="26"/>
      <c r="E796" s="26"/>
    </row>
    <row r="797">
      <c r="A797" s="26"/>
      <c r="B797" s="26"/>
      <c r="C797" s="26"/>
      <c r="D797" s="26"/>
      <c r="E797" s="26"/>
    </row>
    <row r="798">
      <c r="A798" s="26"/>
      <c r="B798" s="26"/>
      <c r="C798" s="26"/>
      <c r="D798" s="26"/>
      <c r="E798" s="26"/>
    </row>
    <row r="799">
      <c r="A799" s="26"/>
      <c r="B799" s="26"/>
      <c r="C799" s="26"/>
      <c r="D799" s="26"/>
      <c r="E799" s="26"/>
    </row>
    <row r="800">
      <c r="A800" s="26"/>
      <c r="B800" s="26"/>
      <c r="C800" s="26"/>
      <c r="D800" s="26"/>
      <c r="E800" s="26"/>
    </row>
    <row r="801">
      <c r="A801" s="26"/>
      <c r="B801" s="26"/>
      <c r="C801" s="26"/>
      <c r="D801" s="26"/>
      <c r="E801" s="26"/>
    </row>
    <row r="802">
      <c r="A802" s="26"/>
      <c r="B802" s="26"/>
      <c r="C802" s="26"/>
      <c r="D802" s="26"/>
      <c r="E802" s="26"/>
    </row>
    <row r="803">
      <c r="A803" s="26"/>
      <c r="B803" s="26"/>
      <c r="C803" s="26"/>
      <c r="D803" s="26"/>
      <c r="E803" s="26"/>
    </row>
    <row r="804">
      <c r="A804" s="26"/>
      <c r="B804" s="26"/>
      <c r="C804" s="26"/>
      <c r="D804" s="26"/>
      <c r="E804" s="26"/>
    </row>
    <row r="805">
      <c r="A805" s="26"/>
      <c r="B805" s="26"/>
      <c r="C805" s="26"/>
      <c r="D805" s="26"/>
      <c r="E805" s="26"/>
    </row>
    <row r="806">
      <c r="A806" s="26"/>
      <c r="B806" s="26"/>
      <c r="C806" s="26"/>
      <c r="D806" s="26"/>
      <c r="E806" s="26"/>
    </row>
    <row r="807">
      <c r="A807" s="26"/>
      <c r="B807" s="26"/>
      <c r="C807" s="26"/>
      <c r="D807" s="26"/>
      <c r="E807" s="26"/>
    </row>
    <row r="808">
      <c r="A808" s="26"/>
      <c r="B808" s="26"/>
      <c r="C808" s="26"/>
      <c r="D808" s="26"/>
      <c r="E808" s="26"/>
    </row>
    <row r="809">
      <c r="A809" s="26"/>
      <c r="B809" s="26"/>
      <c r="C809" s="26"/>
      <c r="D809" s="26"/>
      <c r="E809" s="26"/>
    </row>
    <row r="810">
      <c r="A810" s="26"/>
      <c r="B810" s="26"/>
      <c r="C810" s="26"/>
      <c r="D810" s="26"/>
      <c r="E810" s="26"/>
    </row>
    <row r="811">
      <c r="A811" s="26"/>
      <c r="B811" s="26"/>
      <c r="C811" s="26"/>
      <c r="D811" s="26"/>
      <c r="E811" s="26"/>
    </row>
    <row r="812">
      <c r="A812" s="26"/>
      <c r="B812" s="26"/>
      <c r="C812" s="26"/>
      <c r="D812" s="26"/>
      <c r="E812" s="26"/>
    </row>
    <row r="813">
      <c r="A813" s="26"/>
      <c r="B813" s="26"/>
      <c r="C813" s="26"/>
      <c r="D813" s="26"/>
      <c r="E813" s="26"/>
    </row>
    <row r="814">
      <c r="A814" s="26"/>
      <c r="B814" s="26"/>
      <c r="C814" s="26"/>
      <c r="D814" s="26"/>
      <c r="E814" s="26"/>
    </row>
    <row r="815">
      <c r="A815" s="26"/>
      <c r="B815" s="26"/>
      <c r="C815" s="26"/>
      <c r="D815" s="26"/>
      <c r="E815" s="26"/>
    </row>
    <row r="816">
      <c r="A816" s="26"/>
      <c r="B816" s="26"/>
      <c r="C816" s="26"/>
      <c r="D816" s="26"/>
      <c r="E816" s="26"/>
    </row>
    <row r="817">
      <c r="A817" s="26"/>
      <c r="B817" s="26"/>
      <c r="C817" s="26"/>
      <c r="D817" s="26"/>
      <c r="E817" s="26"/>
    </row>
    <row r="818">
      <c r="A818" s="26"/>
      <c r="B818" s="26"/>
      <c r="C818" s="26"/>
      <c r="D818" s="26"/>
      <c r="E818" s="26"/>
    </row>
    <row r="819">
      <c r="A819" s="26"/>
      <c r="B819" s="26"/>
      <c r="C819" s="26"/>
      <c r="D819" s="26"/>
      <c r="E819" s="26"/>
    </row>
    <row r="820">
      <c r="A820" s="26"/>
      <c r="B820" s="26"/>
      <c r="C820" s="26"/>
      <c r="D820" s="26"/>
      <c r="E820" s="26"/>
    </row>
    <row r="821">
      <c r="A821" s="26"/>
      <c r="B821" s="26"/>
      <c r="C821" s="26"/>
      <c r="D821" s="26"/>
      <c r="E821" s="26"/>
    </row>
    <row r="822">
      <c r="A822" s="26"/>
      <c r="B822" s="26"/>
      <c r="C822" s="26"/>
      <c r="D822" s="26"/>
      <c r="E822" s="26"/>
    </row>
    <row r="823">
      <c r="A823" s="26"/>
      <c r="B823" s="26"/>
      <c r="C823" s="26"/>
      <c r="D823" s="26"/>
      <c r="E823" s="26"/>
    </row>
    <row r="824">
      <c r="A824" s="26"/>
      <c r="B824" s="26"/>
      <c r="C824" s="26"/>
      <c r="D824" s="26"/>
      <c r="E824" s="26"/>
    </row>
    <row r="825">
      <c r="A825" s="26"/>
      <c r="B825" s="26"/>
      <c r="C825" s="26"/>
      <c r="D825" s="26"/>
      <c r="E825" s="26"/>
    </row>
    <row r="826">
      <c r="A826" s="26"/>
      <c r="B826" s="26"/>
      <c r="C826" s="26"/>
      <c r="D826" s="26"/>
      <c r="E826" s="26"/>
    </row>
    <row r="827">
      <c r="A827" s="26"/>
      <c r="B827" s="26"/>
      <c r="C827" s="26"/>
      <c r="D827" s="26"/>
      <c r="E827" s="26"/>
    </row>
    <row r="828">
      <c r="A828" s="26"/>
      <c r="B828" s="26"/>
      <c r="C828" s="26"/>
      <c r="D828" s="26"/>
      <c r="E828" s="26"/>
    </row>
    <row r="829">
      <c r="A829" s="26"/>
      <c r="B829" s="26"/>
      <c r="C829" s="26"/>
      <c r="D829" s="26"/>
      <c r="E829" s="26"/>
    </row>
    <row r="830">
      <c r="A830" s="26"/>
      <c r="B830" s="26"/>
      <c r="C830" s="26"/>
      <c r="D830" s="26"/>
      <c r="E830" s="26"/>
    </row>
    <row r="831">
      <c r="A831" s="26"/>
      <c r="B831" s="26"/>
      <c r="C831" s="26"/>
      <c r="D831" s="26"/>
      <c r="E831" s="26"/>
    </row>
    <row r="832">
      <c r="A832" s="26"/>
      <c r="B832" s="26"/>
      <c r="C832" s="26"/>
      <c r="D832" s="26"/>
      <c r="E832" s="26"/>
    </row>
    <row r="833">
      <c r="A833" s="26"/>
      <c r="B833" s="26"/>
      <c r="C833" s="26"/>
      <c r="D833" s="26"/>
      <c r="E833" s="26"/>
    </row>
    <row r="834">
      <c r="A834" s="26"/>
      <c r="B834" s="26"/>
      <c r="C834" s="26"/>
      <c r="D834" s="26"/>
      <c r="E834" s="26"/>
    </row>
    <row r="835">
      <c r="A835" s="26"/>
      <c r="B835" s="26"/>
      <c r="C835" s="26"/>
      <c r="D835" s="26"/>
      <c r="E835" s="26"/>
    </row>
    <row r="836">
      <c r="A836" s="26"/>
      <c r="B836" s="26"/>
      <c r="C836" s="26"/>
      <c r="D836" s="26"/>
      <c r="E836" s="26"/>
    </row>
    <row r="837">
      <c r="A837" s="26"/>
      <c r="B837" s="26"/>
      <c r="C837" s="26"/>
      <c r="D837" s="26"/>
      <c r="E837" s="26"/>
    </row>
    <row r="838">
      <c r="A838" s="26"/>
      <c r="B838" s="26"/>
      <c r="C838" s="26"/>
      <c r="D838" s="26"/>
      <c r="E838" s="26"/>
    </row>
    <row r="839">
      <c r="A839" s="26"/>
      <c r="B839" s="26"/>
      <c r="C839" s="26"/>
      <c r="D839" s="26"/>
      <c r="E839" s="26"/>
    </row>
    <row r="840">
      <c r="A840" s="26"/>
      <c r="B840" s="26"/>
      <c r="C840" s="26"/>
      <c r="D840" s="26"/>
      <c r="E840" s="26"/>
    </row>
    <row r="841">
      <c r="A841" s="26"/>
      <c r="B841" s="26"/>
      <c r="C841" s="26"/>
      <c r="D841" s="26"/>
      <c r="E841" s="26"/>
    </row>
    <row r="842">
      <c r="A842" s="26"/>
      <c r="B842" s="26"/>
      <c r="C842" s="26"/>
      <c r="D842" s="26"/>
      <c r="E842" s="26"/>
    </row>
    <row r="843">
      <c r="A843" s="26"/>
      <c r="B843" s="26"/>
      <c r="C843" s="26"/>
      <c r="D843" s="26"/>
      <c r="E843" s="26"/>
    </row>
    <row r="844">
      <c r="A844" s="26"/>
      <c r="B844" s="26"/>
      <c r="C844" s="26"/>
      <c r="D844" s="26"/>
      <c r="E844" s="26"/>
    </row>
    <row r="845">
      <c r="A845" s="26"/>
      <c r="B845" s="26"/>
      <c r="C845" s="26"/>
      <c r="D845" s="26"/>
      <c r="E845" s="26"/>
    </row>
    <row r="846">
      <c r="A846" s="26"/>
      <c r="B846" s="26"/>
      <c r="C846" s="26"/>
      <c r="D846" s="26"/>
      <c r="E846" s="26"/>
    </row>
    <row r="847">
      <c r="A847" s="26"/>
      <c r="B847" s="26"/>
      <c r="C847" s="26"/>
      <c r="D847" s="26"/>
      <c r="E847" s="26"/>
    </row>
    <row r="848">
      <c r="A848" s="26"/>
      <c r="B848" s="26"/>
      <c r="C848" s="26"/>
      <c r="D848" s="26"/>
      <c r="E848" s="26"/>
    </row>
    <row r="849">
      <c r="A849" s="26"/>
      <c r="B849" s="26"/>
      <c r="C849" s="26"/>
      <c r="D849" s="26"/>
      <c r="E849" s="26"/>
    </row>
    <row r="850">
      <c r="A850" s="26"/>
      <c r="B850" s="26"/>
      <c r="C850" s="26"/>
      <c r="D850" s="26"/>
      <c r="E850" s="26"/>
    </row>
    <row r="851">
      <c r="A851" s="26"/>
      <c r="B851" s="26"/>
      <c r="C851" s="26"/>
      <c r="D851" s="26"/>
      <c r="E851" s="26"/>
    </row>
    <row r="852">
      <c r="A852" s="26"/>
      <c r="B852" s="26"/>
      <c r="C852" s="26"/>
      <c r="D852" s="26"/>
      <c r="E852" s="26"/>
    </row>
    <row r="853">
      <c r="A853" s="26"/>
      <c r="B853" s="26"/>
      <c r="C853" s="26"/>
      <c r="D853" s="26"/>
      <c r="E853" s="26"/>
    </row>
    <row r="854">
      <c r="A854" s="26"/>
      <c r="B854" s="26"/>
      <c r="C854" s="26"/>
      <c r="D854" s="26"/>
      <c r="E854" s="26"/>
    </row>
    <row r="855">
      <c r="A855" s="26"/>
      <c r="B855" s="26"/>
      <c r="C855" s="26"/>
      <c r="D855" s="26"/>
      <c r="E855" s="26"/>
    </row>
    <row r="856">
      <c r="A856" s="26"/>
      <c r="B856" s="26"/>
      <c r="C856" s="26"/>
      <c r="D856" s="26"/>
      <c r="E856" s="26"/>
    </row>
    <row r="857">
      <c r="A857" s="26"/>
      <c r="B857" s="26"/>
      <c r="C857" s="26"/>
      <c r="D857" s="26"/>
      <c r="E857" s="26"/>
    </row>
    <row r="858">
      <c r="A858" s="26"/>
      <c r="B858" s="26"/>
      <c r="C858" s="26"/>
      <c r="D858" s="26"/>
      <c r="E858" s="26"/>
    </row>
    <row r="859">
      <c r="A859" s="26"/>
      <c r="B859" s="26"/>
      <c r="C859" s="26"/>
      <c r="D859" s="26"/>
      <c r="E859" s="26"/>
    </row>
    <row r="860">
      <c r="A860" s="26"/>
      <c r="B860" s="26"/>
      <c r="C860" s="26"/>
      <c r="D860" s="26"/>
      <c r="E860" s="26"/>
    </row>
    <row r="861">
      <c r="A861" s="26"/>
      <c r="B861" s="26"/>
      <c r="C861" s="26"/>
      <c r="D861" s="26"/>
      <c r="E861" s="26"/>
    </row>
    <row r="862">
      <c r="A862" s="26"/>
      <c r="B862" s="26"/>
      <c r="C862" s="26"/>
      <c r="D862" s="26"/>
      <c r="E862" s="26"/>
    </row>
    <row r="863">
      <c r="A863" s="26"/>
      <c r="B863" s="26"/>
      <c r="C863" s="26"/>
      <c r="D863" s="26"/>
      <c r="E863" s="26"/>
    </row>
    <row r="864">
      <c r="A864" s="26"/>
      <c r="B864" s="26"/>
      <c r="C864" s="26"/>
      <c r="D864" s="26"/>
      <c r="E864" s="26"/>
    </row>
    <row r="865">
      <c r="A865" s="26"/>
      <c r="B865" s="26"/>
      <c r="C865" s="26"/>
      <c r="D865" s="26"/>
      <c r="E865" s="26"/>
    </row>
    <row r="866">
      <c r="A866" s="26"/>
      <c r="B866" s="26"/>
      <c r="C866" s="26"/>
      <c r="D866" s="26"/>
      <c r="E866" s="26"/>
    </row>
    <row r="867">
      <c r="A867" s="26"/>
      <c r="B867" s="26"/>
      <c r="C867" s="26"/>
      <c r="D867" s="26"/>
      <c r="E867" s="26"/>
    </row>
    <row r="868">
      <c r="A868" s="26"/>
      <c r="B868" s="26"/>
      <c r="C868" s="26"/>
      <c r="D868" s="26"/>
      <c r="E868" s="26"/>
    </row>
    <row r="869">
      <c r="A869" s="26"/>
      <c r="B869" s="26"/>
      <c r="C869" s="26"/>
      <c r="D869" s="26"/>
      <c r="E869" s="26"/>
    </row>
    <row r="870">
      <c r="A870" s="26"/>
      <c r="B870" s="26"/>
      <c r="C870" s="26"/>
      <c r="D870" s="26"/>
      <c r="E870" s="26"/>
    </row>
    <row r="871">
      <c r="A871" s="26"/>
      <c r="B871" s="26"/>
      <c r="C871" s="26"/>
      <c r="D871" s="26"/>
      <c r="E871" s="26"/>
    </row>
    <row r="872">
      <c r="A872" s="26"/>
      <c r="B872" s="26"/>
      <c r="C872" s="26"/>
      <c r="D872" s="26"/>
      <c r="E872" s="26"/>
    </row>
    <row r="873">
      <c r="A873" s="26"/>
      <c r="B873" s="26"/>
      <c r="C873" s="26"/>
      <c r="D873" s="26"/>
      <c r="E873" s="26"/>
    </row>
    <row r="874">
      <c r="A874" s="26"/>
      <c r="B874" s="26"/>
      <c r="C874" s="26"/>
      <c r="D874" s="26"/>
      <c r="E874" s="26"/>
    </row>
    <row r="875">
      <c r="A875" s="26"/>
      <c r="B875" s="26"/>
      <c r="C875" s="26"/>
      <c r="D875" s="26"/>
      <c r="E875" s="26"/>
    </row>
    <row r="876">
      <c r="A876" s="26"/>
      <c r="B876" s="26"/>
      <c r="C876" s="26"/>
      <c r="D876" s="26"/>
      <c r="E876" s="26"/>
    </row>
    <row r="877">
      <c r="A877" s="26"/>
      <c r="B877" s="26"/>
      <c r="C877" s="26"/>
      <c r="D877" s="26"/>
      <c r="E877" s="26"/>
    </row>
    <row r="878">
      <c r="A878" s="26"/>
      <c r="B878" s="26"/>
      <c r="C878" s="26"/>
      <c r="D878" s="26"/>
      <c r="E878" s="26"/>
    </row>
    <row r="879">
      <c r="A879" s="26"/>
      <c r="B879" s="26"/>
      <c r="C879" s="26"/>
      <c r="D879" s="26"/>
      <c r="E879" s="26"/>
    </row>
    <row r="880">
      <c r="A880" s="26"/>
      <c r="B880" s="26"/>
      <c r="C880" s="26"/>
      <c r="D880" s="26"/>
      <c r="E880" s="26"/>
    </row>
    <row r="881">
      <c r="A881" s="26"/>
      <c r="B881" s="26"/>
      <c r="C881" s="26"/>
      <c r="D881" s="26"/>
      <c r="E881" s="26"/>
    </row>
    <row r="882">
      <c r="A882" s="26"/>
      <c r="B882" s="26"/>
      <c r="C882" s="26"/>
      <c r="D882" s="26"/>
      <c r="E882" s="26"/>
    </row>
    <row r="883">
      <c r="A883" s="26"/>
      <c r="B883" s="26"/>
      <c r="C883" s="26"/>
      <c r="D883" s="26"/>
      <c r="E883" s="26"/>
    </row>
    <row r="884">
      <c r="A884" s="26"/>
      <c r="B884" s="26"/>
      <c r="C884" s="26"/>
      <c r="D884" s="26"/>
      <c r="E884" s="26"/>
    </row>
    <row r="885">
      <c r="A885" s="26"/>
      <c r="B885" s="26"/>
      <c r="C885" s="26"/>
      <c r="D885" s="26"/>
      <c r="E885" s="26"/>
    </row>
    <row r="886">
      <c r="A886" s="26"/>
      <c r="B886" s="26"/>
      <c r="C886" s="26"/>
      <c r="D886" s="26"/>
      <c r="E886" s="26"/>
    </row>
    <row r="887">
      <c r="A887" s="26"/>
      <c r="B887" s="26"/>
      <c r="C887" s="26"/>
      <c r="D887" s="26"/>
      <c r="E887" s="26"/>
    </row>
    <row r="888">
      <c r="A888" s="26"/>
      <c r="B888" s="26"/>
      <c r="C888" s="26"/>
      <c r="D888" s="26"/>
      <c r="E888" s="26"/>
    </row>
    <row r="889">
      <c r="A889" s="26"/>
      <c r="B889" s="26"/>
      <c r="C889" s="26"/>
      <c r="D889" s="26"/>
      <c r="E889" s="26"/>
    </row>
    <row r="890">
      <c r="A890" s="26"/>
      <c r="B890" s="26"/>
      <c r="C890" s="26"/>
      <c r="D890" s="26"/>
      <c r="E890" s="26"/>
    </row>
    <row r="891">
      <c r="A891" s="26"/>
      <c r="B891" s="26"/>
      <c r="C891" s="26"/>
      <c r="D891" s="26"/>
      <c r="E891" s="26"/>
    </row>
    <row r="892">
      <c r="A892" s="26"/>
      <c r="B892" s="26"/>
      <c r="C892" s="26"/>
      <c r="D892" s="26"/>
      <c r="E892" s="26"/>
    </row>
    <row r="893">
      <c r="A893" s="26"/>
      <c r="B893" s="26"/>
      <c r="C893" s="26"/>
      <c r="D893" s="26"/>
      <c r="E893" s="26"/>
    </row>
    <row r="894">
      <c r="A894" s="26"/>
      <c r="B894" s="26"/>
      <c r="C894" s="26"/>
      <c r="D894" s="26"/>
      <c r="E894" s="26"/>
    </row>
    <row r="895">
      <c r="A895" s="26"/>
      <c r="B895" s="26"/>
      <c r="C895" s="26"/>
      <c r="D895" s="26"/>
      <c r="E895" s="26"/>
    </row>
    <row r="896">
      <c r="A896" s="26"/>
      <c r="B896" s="26"/>
      <c r="C896" s="26"/>
      <c r="D896" s="26"/>
      <c r="E896" s="26"/>
    </row>
    <row r="897">
      <c r="A897" s="26"/>
      <c r="B897" s="26"/>
      <c r="C897" s="26"/>
      <c r="D897" s="26"/>
      <c r="E897" s="26"/>
    </row>
    <row r="898">
      <c r="A898" s="26"/>
      <c r="B898" s="26"/>
      <c r="C898" s="26"/>
      <c r="D898" s="26"/>
      <c r="E898" s="26"/>
    </row>
    <row r="899">
      <c r="A899" s="26"/>
      <c r="B899" s="26"/>
      <c r="C899" s="26"/>
      <c r="D899" s="26"/>
      <c r="E899" s="26"/>
    </row>
    <row r="900">
      <c r="A900" s="26"/>
      <c r="B900" s="26"/>
      <c r="C900" s="26"/>
      <c r="D900" s="26"/>
      <c r="E900" s="26"/>
    </row>
    <row r="901">
      <c r="A901" s="26"/>
      <c r="B901" s="26"/>
      <c r="C901" s="26"/>
      <c r="D901" s="26"/>
      <c r="E901" s="26"/>
    </row>
    <row r="902">
      <c r="A902" s="26"/>
      <c r="B902" s="26"/>
      <c r="C902" s="26"/>
      <c r="D902" s="26"/>
      <c r="E902" s="26"/>
    </row>
    <row r="903">
      <c r="A903" s="26"/>
      <c r="B903" s="26"/>
      <c r="C903" s="26"/>
      <c r="D903" s="26"/>
      <c r="E903" s="26"/>
    </row>
    <row r="904">
      <c r="A904" s="26"/>
      <c r="B904" s="26"/>
      <c r="C904" s="26"/>
      <c r="D904" s="26"/>
      <c r="E904" s="26"/>
    </row>
    <row r="905">
      <c r="A905" s="26"/>
      <c r="B905" s="26"/>
      <c r="C905" s="26"/>
      <c r="D905" s="26"/>
      <c r="E905" s="26"/>
    </row>
    <row r="906">
      <c r="A906" s="26"/>
      <c r="B906" s="26"/>
      <c r="C906" s="26"/>
      <c r="D906" s="26"/>
      <c r="E906" s="26"/>
    </row>
    <row r="907">
      <c r="A907" s="26"/>
      <c r="B907" s="26"/>
      <c r="C907" s="26"/>
      <c r="D907" s="26"/>
      <c r="E907" s="26"/>
    </row>
    <row r="908">
      <c r="A908" s="26"/>
      <c r="B908" s="26"/>
      <c r="C908" s="26"/>
      <c r="D908" s="26"/>
      <c r="E908" s="26"/>
    </row>
    <row r="909">
      <c r="A909" s="26"/>
      <c r="B909" s="26"/>
      <c r="C909" s="26"/>
      <c r="D909" s="26"/>
      <c r="E909" s="26"/>
    </row>
    <row r="910">
      <c r="A910" s="26"/>
      <c r="B910" s="26"/>
      <c r="C910" s="26"/>
      <c r="D910" s="26"/>
      <c r="E910" s="26"/>
    </row>
    <row r="911">
      <c r="A911" s="26"/>
      <c r="B911" s="26"/>
      <c r="C911" s="26"/>
      <c r="D911" s="26"/>
      <c r="E911" s="26"/>
    </row>
    <row r="912">
      <c r="A912" s="26"/>
      <c r="B912" s="26"/>
      <c r="C912" s="26"/>
      <c r="D912" s="26"/>
      <c r="E912" s="26"/>
    </row>
    <row r="913">
      <c r="A913" s="26"/>
      <c r="B913" s="26"/>
      <c r="C913" s="26"/>
      <c r="D913" s="26"/>
      <c r="E913" s="26"/>
    </row>
    <row r="914">
      <c r="A914" s="26"/>
      <c r="B914" s="26"/>
      <c r="C914" s="26"/>
      <c r="D914" s="26"/>
      <c r="E914" s="26"/>
    </row>
    <row r="915">
      <c r="A915" s="26"/>
      <c r="B915" s="26"/>
      <c r="C915" s="26"/>
      <c r="D915" s="26"/>
      <c r="E915" s="26"/>
    </row>
    <row r="916">
      <c r="A916" s="26"/>
      <c r="B916" s="26"/>
      <c r="C916" s="26"/>
      <c r="D916" s="26"/>
      <c r="E916" s="26"/>
    </row>
    <row r="917">
      <c r="A917" s="26"/>
      <c r="B917" s="26"/>
      <c r="C917" s="26"/>
      <c r="D917" s="26"/>
      <c r="E917" s="26"/>
    </row>
    <row r="918">
      <c r="A918" s="26"/>
      <c r="B918" s="26"/>
      <c r="C918" s="26"/>
      <c r="D918" s="26"/>
      <c r="E918" s="26"/>
    </row>
    <row r="919">
      <c r="A919" s="26"/>
      <c r="B919" s="26"/>
      <c r="C919" s="26"/>
      <c r="D919" s="26"/>
      <c r="E919" s="26"/>
    </row>
    <row r="920">
      <c r="A920" s="26"/>
      <c r="B920" s="26"/>
      <c r="C920" s="26"/>
      <c r="D920" s="26"/>
      <c r="E920" s="26"/>
    </row>
    <row r="921">
      <c r="A921" s="26"/>
      <c r="B921" s="26"/>
      <c r="C921" s="26"/>
      <c r="D921" s="26"/>
      <c r="E921" s="26"/>
    </row>
    <row r="922">
      <c r="A922" s="26"/>
      <c r="B922" s="26"/>
      <c r="C922" s="26"/>
      <c r="D922" s="26"/>
      <c r="E922" s="26"/>
    </row>
    <row r="923">
      <c r="A923" s="26"/>
      <c r="B923" s="26"/>
      <c r="C923" s="26"/>
      <c r="D923" s="26"/>
      <c r="E923" s="26"/>
    </row>
    <row r="924">
      <c r="A924" s="26"/>
      <c r="B924" s="26"/>
      <c r="C924" s="26"/>
      <c r="D924" s="26"/>
      <c r="E924" s="26"/>
    </row>
    <row r="925">
      <c r="A925" s="26"/>
      <c r="B925" s="26"/>
      <c r="C925" s="26"/>
      <c r="D925" s="26"/>
      <c r="E925" s="26"/>
    </row>
    <row r="926">
      <c r="A926" s="26"/>
      <c r="B926" s="26"/>
      <c r="C926" s="26"/>
      <c r="D926" s="26"/>
      <c r="E926" s="26"/>
    </row>
    <row r="927">
      <c r="A927" s="26"/>
      <c r="B927" s="26"/>
      <c r="C927" s="26"/>
      <c r="D927" s="26"/>
      <c r="E927" s="26"/>
    </row>
    <row r="928">
      <c r="A928" s="26"/>
      <c r="B928" s="26"/>
      <c r="C928" s="26"/>
      <c r="D928" s="26"/>
      <c r="E928" s="26"/>
    </row>
    <row r="929">
      <c r="A929" s="26"/>
      <c r="B929" s="26"/>
      <c r="C929" s="26"/>
      <c r="D929" s="26"/>
      <c r="E929" s="26"/>
    </row>
    <row r="930">
      <c r="A930" s="26"/>
      <c r="B930" s="26"/>
      <c r="C930" s="26"/>
      <c r="D930" s="26"/>
      <c r="E930" s="26"/>
    </row>
    <row r="931">
      <c r="A931" s="26"/>
      <c r="B931" s="26"/>
      <c r="C931" s="26"/>
      <c r="D931" s="26"/>
      <c r="E931" s="26"/>
    </row>
    <row r="932">
      <c r="A932" s="26"/>
      <c r="B932" s="26"/>
      <c r="C932" s="26"/>
      <c r="D932" s="26"/>
      <c r="E932" s="26"/>
    </row>
    <row r="933">
      <c r="A933" s="26"/>
      <c r="B933" s="26"/>
      <c r="C933" s="26"/>
      <c r="D933" s="26"/>
      <c r="E933" s="26"/>
    </row>
    <row r="934">
      <c r="A934" s="26"/>
      <c r="B934" s="26"/>
      <c r="C934" s="26"/>
      <c r="D934" s="26"/>
      <c r="E934" s="26"/>
    </row>
    <row r="935">
      <c r="A935" s="26"/>
      <c r="B935" s="26"/>
      <c r="C935" s="26"/>
      <c r="D935" s="26"/>
      <c r="E935" s="26"/>
    </row>
    <row r="936">
      <c r="A936" s="26"/>
      <c r="B936" s="26"/>
      <c r="C936" s="26"/>
      <c r="D936" s="26"/>
      <c r="E936" s="26"/>
    </row>
    <row r="937">
      <c r="A937" s="26"/>
      <c r="B937" s="26"/>
      <c r="C937" s="26"/>
      <c r="D937" s="26"/>
      <c r="E937" s="26"/>
    </row>
    <row r="938">
      <c r="A938" s="26"/>
      <c r="B938" s="26"/>
      <c r="C938" s="26"/>
      <c r="D938" s="26"/>
      <c r="E938" s="26"/>
    </row>
    <row r="939">
      <c r="A939" s="26"/>
      <c r="B939" s="26"/>
      <c r="C939" s="26"/>
      <c r="D939" s="26"/>
      <c r="E939" s="26"/>
    </row>
    <row r="940">
      <c r="A940" s="26"/>
      <c r="B940" s="26"/>
      <c r="C940" s="26"/>
      <c r="D940" s="26"/>
      <c r="E940" s="26"/>
    </row>
    <row r="941">
      <c r="A941" s="26"/>
      <c r="B941" s="26"/>
      <c r="C941" s="26"/>
      <c r="D941" s="26"/>
      <c r="E941" s="26"/>
    </row>
    <row r="942">
      <c r="A942" s="26"/>
      <c r="B942" s="26"/>
      <c r="C942" s="26"/>
      <c r="D942" s="26"/>
      <c r="E942" s="26"/>
    </row>
    <row r="943">
      <c r="A943" s="26"/>
      <c r="B943" s="26"/>
      <c r="C943" s="26"/>
      <c r="D943" s="26"/>
      <c r="E943" s="26"/>
    </row>
    <row r="944">
      <c r="A944" s="26"/>
      <c r="B944" s="26"/>
      <c r="C944" s="26"/>
      <c r="D944" s="26"/>
      <c r="E944" s="26"/>
    </row>
    <row r="945">
      <c r="A945" s="26"/>
      <c r="B945" s="26"/>
      <c r="C945" s="26"/>
      <c r="D945" s="26"/>
      <c r="E945" s="26"/>
    </row>
    <row r="946">
      <c r="A946" s="26"/>
      <c r="B946" s="26"/>
      <c r="C946" s="26"/>
      <c r="D946" s="26"/>
      <c r="E946" s="26"/>
    </row>
    <row r="947">
      <c r="A947" s="26"/>
      <c r="B947" s="26"/>
      <c r="C947" s="26"/>
      <c r="D947" s="26"/>
      <c r="E947" s="26"/>
    </row>
    <row r="948">
      <c r="A948" s="26"/>
      <c r="B948" s="26"/>
      <c r="C948" s="26"/>
      <c r="D948" s="26"/>
      <c r="E948" s="26"/>
    </row>
    <row r="949">
      <c r="A949" s="26"/>
      <c r="B949" s="26"/>
      <c r="C949" s="26"/>
      <c r="D949" s="26"/>
      <c r="E949" s="26"/>
    </row>
    <row r="950">
      <c r="A950" s="26"/>
      <c r="B950" s="26"/>
      <c r="C950" s="26"/>
      <c r="D950" s="26"/>
      <c r="E950" s="26"/>
    </row>
    <row r="951">
      <c r="A951" s="26"/>
      <c r="B951" s="26"/>
      <c r="C951" s="26"/>
      <c r="D951" s="26"/>
      <c r="E951" s="26"/>
    </row>
    <row r="952">
      <c r="A952" s="26"/>
      <c r="B952" s="26"/>
      <c r="C952" s="26"/>
      <c r="D952" s="26"/>
      <c r="E952" s="26"/>
    </row>
    <row r="953">
      <c r="A953" s="26"/>
      <c r="B953" s="26"/>
      <c r="C953" s="26"/>
      <c r="D953" s="26"/>
      <c r="E953" s="26"/>
    </row>
    <row r="954">
      <c r="A954" s="26"/>
      <c r="B954" s="26"/>
      <c r="C954" s="26"/>
      <c r="D954" s="26"/>
      <c r="E954" s="26"/>
    </row>
    <row r="955">
      <c r="A955" s="26"/>
      <c r="B955" s="26"/>
      <c r="C955" s="26"/>
      <c r="D955" s="26"/>
      <c r="E955" s="26"/>
    </row>
    <row r="956">
      <c r="A956" s="26"/>
      <c r="B956" s="26"/>
      <c r="C956" s="26"/>
      <c r="D956" s="26"/>
      <c r="E956" s="26"/>
    </row>
    <row r="957">
      <c r="A957" s="26"/>
      <c r="B957" s="26"/>
      <c r="C957" s="26"/>
      <c r="D957" s="26"/>
      <c r="E957" s="26"/>
    </row>
    <row r="958">
      <c r="A958" s="26"/>
      <c r="B958" s="26"/>
      <c r="C958" s="26"/>
      <c r="D958" s="26"/>
      <c r="E958" s="26"/>
    </row>
    <row r="959">
      <c r="A959" s="26"/>
      <c r="B959" s="26"/>
      <c r="C959" s="26"/>
      <c r="D959" s="26"/>
      <c r="E959" s="26"/>
    </row>
    <row r="960">
      <c r="A960" s="26"/>
      <c r="B960" s="26"/>
      <c r="C960" s="26"/>
      <c r="D960" s="26"/>
      <c r="E960" s="26"/>
    </row>
    <row r="961">
      <c r="A961" s="26"/>
      <c r="B961" s="26"/>
      <c r="C961" s="26"/>
      <c r="D961" s="26"/>
      <c r="E961" s="26"/>
    </row>
    <row r="962">
      <c r="A962" s="26"/>
      <c r="B962" s="26"/>
      <c r="C962" s="26"/>
      <c r="D962" s="26"/>
      <c r="E962" s="26"/>
    </row>
    <row r="963">
      <c r="A963" s="26"/>
      <c r="B963" s="26"/>
      <c r="C963" s="26"/>
      <c r="D963" s="26"/>
      <c r="E963" s="26"/>
    </row>
    <row r="964">
      <c r="A964" s="26"/>
      <c r="B964" s="26"/>
      <c r="C964" s="26"/>
      <c r="D964" s="26"/>
      <c r="E964" s="26"/>
    </row>
    <row r="965">
      <c r="A965" s="26"/>
      <c r="B965" s="26"/>
      <c r="C965" s="26"/>
      <c r="D965" s="26"/>
      <c r="E965" s="26"/>
    </row>
    <row r="966">
      <c r="A966" s="26"/>
      <c r="B966" s="26"/>
      <c r="C966" s="26"/>
      <c r="D966" s="26"/>
      <c r="E966" s="26"/>
    </row>
    <row r="967">
      <c r="A967" s="26"/>
      <c r="B967" s="26"/>
      <c r="C967" s="26"/>
      <c r="D967" s="26"/>
      <c r="E967" s="26"/>
    </row>
    <row r="968">
      <c r="A968" s="26"/>
      <c r="B968" s="26"/>
      <c r="C968" s="26"/>
      <c r="D968" s="26"/>
      <c r="E968" s="26"/>
    </row>
    <row r="969">
      <c r="A969" s="26"/>
      <c r="B969" s="26"/>
      <c r="C969" s="26"/>
      <c r="D969" s="26"/>
      <c r="E969" s="26"/>
    </row>
    <row r="970">
      <c r="A970" s="26"/>
      <c r="B970" s="26"/>
      <c r="C970" s="26"/>
      <c r="D970" s="26"/>
      <c r="E970" s="26"/>
    </row>
    <row r="971">
      <c r="A971" s="26"/>
      <c r="B971" s="26"/>
      <c r="C971" s="26"/>
      <c r="D971" s="26"/>
      <c r="E971" s="26"/>
    </row>
    <row r="972">
      <c r="A972" s="26"/>
      <c r="B972" s="26"/>
      <c r="C972" s="26"/>
      <c r="D972" s="26"/>
      <c r="E972" s="26"/>
    </row>
    <row r="973">
      <c r="A973" s="26"/>
      <c r="B973" s="26"/>
      <c r="C973" s="26"/>
      <c r="D973" s="26"/>
      <c r="E973" s="26"/>
    </row>
    <row r="974">
      <c r="A974" s="26"/>
      <c r="B974" s="26"/>
      <c r="C974" s="26"/>
      <c r="D974" s="26"/>
      <c r="E974" s="26"/>
    </row>
    <row r="975">
      <c r="A975" s="26"/>
      <c r="B975" s="26"/>
      <c r="C975" s="26"/>
      <c r="D975" s="26"/>
      <c r="E975" s="26"/>
    </row>
    <row r="976">
      <c r="A976" s="26"/>
      <c r="B976" s="26"/>
      <c r="C976" s="26"/>
      <c r="D976" s="26"/>
      <c r="E976" s="26"/>
    </row>
    <row r="977">
      <c r="A977" s="26"/>
      <c r="B977" s="26"/>
      <c r="C977" s="26"/>
      <c r="D977" s="26"/>
      <c r="E977" s="26"/>
    </row>
    <row r="978">
      <c r="A978" s="26"/>
      <c r="B978" s="26"/>
      <c r="C978" s="26"/>
      <c r="D978" s="26"/>
      <c r="E978" s="26"/>
    </row>
    <row r="979">
      <c r="A979" s="26"/>
      <c r="B979" s="26"/>
      <c r="C979" s="26"/>
      <c r="D979" s="26"/>
      <c r="E979" s="26"/>
    </row>
    <row r="980">
      <c r="A980" s="26"/>
      <c r="B980" s="26"/>
      <c r="C980" s="26"/>
      <c r="D980" s="26"/>
      <c r="E980" s="26"/>
    </row>
    <row r="981">
      <c r="A981" s="26"/>
      <c r="B981" s="26"/>
      <c r="C981" s="26"/>
      <c r="D981" s="26"/>
      <c r="E981" s="26"/>
    </row>
    <row r="982">
      <c r="A982" s="26"/>
      <c r="B982" s="26"/>
      <c r="C982" s="26"/>
      <c r="D982" s="26"/>
      <c r="E982" s="26"/>
    </row>
    <row r="983">
      <c r="A983" s="26"/>
      <c r="B983" s="26"/>
      <c r="C983" s="26"/>
      <c r="D983" s="26"/>
      <c r="E983" s="26"/>
    </row>
    <row r="984">
      <c r="A984" s="26"/>
      <c r="B984" s="26"/>
      <c r="C984" s="26"/>
      <c r="D984" s="26"/>
      <c r="E984" s="26"/>
    </row>
    <row r="985">
      <c r="A985" s="26"/>
      <c r="B985" s="26"/>
      <c r="C985" s="26"/>
      <c r="D985" s="26"/>
      <c r="E985" s="26"/>
    </row>
    <row r="986">
      <c r="A986" s="26"/>
      <c r="B986" s="26"/>
      <c r="C986" s="26"/>
      <c r="D986" s="26"/>
      <c r="E986" s="26"/>
    </row>
    <row r="987">
      <c r="A987" s="26"/>
      <c r="B987" s="26"/>
      <c r="C987" s="26"/>
      <c r="D987" s="26"/>
      <c r="E987" s="26"/>
    </row>
    <row r="988">
      <c r="A988" s="26"/>
      <c r="B988" s="26"/>
      <c r="C988" s="26"/>
      <c r="D988" s="26"/>
      <c r="E988" s="26"/>
    </row>
    <row r="989">
      <c r="A989" s="26"/>
      <c r="B989" s="26"/>
      <c r="C989" s="26"/>
      <c r="D989" s="26"/>
      <c r="E989" s="26"/>
    </row>
    <row r="990">
      <c r="A990" s="26"/>
      <c r="B990" s="26"/>
      <c r="C990" s="26"/>
      <c r="D990" s="26"/>
      <c r="E990" s="26"/>
    </row>
    <row r="991">
      <c r="A991" s="26"/>
      <c r="B991" s="26"/>
      <c r="C991" s="26"/>
      <c r="D991" s="26"/>
      <c r="E991" s="26"/>
    </row>
    <row r="992">
      <c r="A992" s="26"/>
      <c r="B992" s="26"/>
      <c r="C992" s="26"/>
      <c r="D992" s="26"/>
      <c r="E992" s="26"/>
    </row>
    <row r="993">
      <c r="A993" s="26"/>
      <c r="B993" s="26"/>
      <c r="C993" s="26"/>
      <c r="D993" s="26"/>
      <c r="E993" s="26"/>
    </row>
    <row r="994">
      <c r="A994" s="26"/>
      <c r="B994" s="26"/>
      <c r="C994" s="26"/>
      <c r="D994" s="26"/>
      <c r="E994" s="26"/>
    </row>
    <row r="995">
      <c r="A995" s="26"/>
      <c r="B995" s="26"/>
      <c r="C995" s="26"/>
      <c r="D995" s="26"/>
      <c r="E995" s="26"/>
    </row>
    <row r="996">
      <c r="A996" s="26"/>
      <c r="B996" s="26"/>
      <c r="C996" s="26"/>
      <c r="D996" s="26"/>
      <c r="E996" s="26"/>
    </row>
    <row r="997">
      <c r="A997" s="26"/>
      <c r="B997" s="26"/>
      <c r="C997" s="26"/>
      <c r="D997" s="26"/>
      <c r="E997" s="26"/>
    </row>
    <row r="998">
      <c r="A998" s="26"/>
      <c r="B998" s="26"/>
      <c r="C998" s="26"/>
      <c r="D998" s="26"/>
      <c r="E998" s="26"/>
    </row>
    <row r="999">
      <c r="A999" s="26"/>
      <c r="B999" s="26"/>
      <c r="C999" s="26"/>
      <c r="D999" s="26"/>
      <c r="E999" s="26"/>
    </row>
    <row r="1000">
      <c r="A1000" s="26"/>
      <c r="B1000" s="26"/>
      <c r="C1000" s="26"/>
      <c r="D1000" s="26"/>
      <c r="E1000" s="26"/>
    </row>
  </sheetData>
  <hyperlinks>
    <hyperlink r:id="rId1" ref="C2"/>
    <hyperlink r:id="rId2" ref="C3"/>
    <hyperlink r:id="rId3" ref="C4"/>
    <hyperlink r:id="rId4" ref="C5"/>
    <hyperlink r:id="rId5" ref="C6"/>
    <hyperlink r:id="rId6" ref="C7"/>
    <hyperlink r:id="rId7" location="edition=72904613&amp;idiq=84104657" ref="C8"/>
  </hyperlinks>
  <drawing r:id="rId8"/>
  <tableParts count="1">
    <tablePart r:id="rId10"/>
  </tableParts>
</worksheet>
</file>